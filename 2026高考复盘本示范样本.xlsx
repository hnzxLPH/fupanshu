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42051\Desktop\"/>
    </mc:Choice>
  </mc:AlternateContent>
  <xr:revisionPtr revIDLastSave="0" documentId="13_ncr:1_{BB728D7C-FBEA-44B4-B358-A34F99ED7AA1}" xr6:coauthVersionLast="47" xr6:coauthVersionMax="47" xr10:uidLastSave="{00000000-0000-0000-0000-000000000000}"/>
  <bookViews>
    <workbookView xWindow="10260" yWindow="0" windowWidth="10260" windowHeight="13080" firstSheet="7" activeTab="9" xr2:uid="{00000000-000D-0000-FFFF-FFFF00000000}"/>
  </bookViews>
  <sheets>
    <sheet name="W1-日1" sheetId="1" r:id="rId1"/>
    <sheet name="W1-日2" sheetId="2" r:id="rId2"/>
    <sheet name="W1-日3" sheetId="3" r:id="rId3"/>
    <sheet name="W1-日4" sheetId="4" r:id="rId4"/>
    <sheet name="W1-日5" sheetId="5" r:id="rId5"/>
    <sheet name="W1-日6" sheetId="6" r:id="rId6"/>
    <sheet name="W1-日7" sheetId="7" r:id="rId7"/>
    <sheet name="W1-周汇总" sheetId="8" r:id="rId8"/>
    <sheet name="W1-卡片1" sheetId="9" r:id="rId9"/>
    <sheet name="W1-卡片2" sheetId="10" r:id="rId10"/>
  </sheets>
  <definedNames>
    <definedName name="_xlnm.Print_Area" localSheetId="8">'W1-卡片1'!$A$1:$H$29</definedName>
    <definedName name="_xlnm.Print_Area" localSheetId="9">'W1-卡片2'!$A$1:$H$29</definedName>
    <definedName name="_xlnm.Print_Area" localSheetId="0">'W1-日1'!$A$1:$F$31</definedName>
    <definedName name="_xlnm.Print_Area" localSheetId="1">'W1-日2'!$A$1:$F$31</definedName>
    <definedName name="_xlnm.Print_Area" localSheetId="2">'W1-日3'!$A$1:$F$31</definedName>
    <definedName name="_xlnm.Print_Area" localSheetId="3">'W1-日4'!$A$1:$F$31</definedName>
    <definedName name="_xlnm.Print_Area" localSheetId="4">'W1-日5'!$A$1:$F$31</definedName>
    <definedName name="_xlnm.Print_Area" localSheetId="5">'W1-日6'!$A$1:$F$31</definedName>
    <definedName name="_xlnm.Print_Area" localSheetId="6">'W1-日7'!$A$1:$F$31</definedName>
    <definedName name="_xlnm.Print_Area" localSheetId="7">'W1-周汇总'!$A$1:$G$33</definedName>
  </definedNames>
  <calcPr calcId="181029"/>
</workbook>
</file>

<file path=xl/calcChain.xml><?xml version="1.0" encoding="utf-8"?>
<calcChain xmlns="http://schemas.openxmlformats.org/spreadsheetml/2006/main">
  <c r="E24" i="8" l="1"/>
  <c r="D24" i="8"/>
  <c r="C13" i="7"/>
  <c r="D13" i="7" s="1"/>
  <c r="C13" i="6"/>
  <c r="D13" i="6" s="1"/>
  <c r="C13" i="5"/>
  <c r="D13" i="5" s="1"/>
  <c r="C13" i="4"/>
  <c r="D13" i="4" s="1"/>
  <c r="C13" i="3"/>
  <c r="D13" i="3" s="1"/>
  <c r="C13" i="2"/>
  <c r="D13" i="2" s="1"/>
  <c r="C13" i="1"/>
  <c r="D13" i="1" s="1"/>
</calcChain>
</file>

<file path=xl/sharedStrings.xml><?xml version="1.0" encoding="utf-8"?>
<sst xmlns="http://schemas.openxmlformats.org/spreadsheetml/2006/main" count="599" uniqueCount="367">
  <si>
    <t>▌ 第一部分：基本信息</t>
  </si>
  <si>
    <t>⏱ 总学习时长：____h</t>
  </si>
  <si>
    <t>🌙 睡眠：____h</t>
  </si>
  <si>
    <t>😊 心情/能量：____ /5</t>
  </si>
  <si>
    <t>▌ 第二部分：6科每日总结</t>
  </si>
  <si>
    <t>科目</t>
  </si>
  <si>
    <t>今日重点内容 / 章节 / 任务</t>
  </si>
  <si>
    <t>实际时长
(min)</t>
  </si>
  <si>
    <t>亮点或 OK 点（简短）</t>
  </si>
  <si>
    <t>今天最大问题 / 遗留知识点
（一句话 + ★1-5 优先级）</t>
  </si>
  <si>
    <t>备注（可选）</t>
  </si>
  <si>
    <t>语文</t>
  </si>
  <si>
    <t>数学</t>
  </si>
  <si>
    <t>英语</t>
  </si>
  <si>
    <t>物理</t>
  </si>
  <si>
    <t>化学</t>
  </si>
  <si>
    <t>地理</t>
  </si>
  <si>
    <t>合计学习时长（min）</t>
  </si>
  <si>
    <t>▌ 第三部分：今日遗留知识点速记</t>
  </si>
  <si>
    <t>序号</t>
  </si>
  <si>
    <t>知识点 / 专题名称</t>
  </si>
  <si>
    <t>核心问题 / 错因（一句话）</t>
  </si>
  <si>
    <t>掌握度
★1-5</t>
  </si>
  <si>
    <t>是否周末重点整理</t>
  </si>
  <si>
    <t>▌ 第四部分：明天前 3 个最优先行动</t>
  </si>
  <si>
    <t>③ 第三位：</t>
  </si>
  <si>
    <t>▌ 第五部分：今日一句话总结</t>
  </si>
  <si>
    <t>📌 第1周 · 第1天  |  时长列填数字(min)，合计行自动计算</t>
  </si>
  <si>
    <t>📚  2026高考复盘本  |  第1周 · 第2天</t>
  </si>
  <si>
    <t>📌 第1周 · 第2天  |  时长列填数字(min)，合计行自动计算</t>
  </si>
  <si>
    <t>📌 第1周 · 第3天  |  时长列填数字(min)，合计行自动计算</t>
  </si>
  <si>
    <t>📚  2026高考复盘本  |  第1周 · 第4天</t>
  </si>
  <si>
    <t>📌 第1周 · 第4天  |  时长列填数字(min)，合计行自动计算</t>
  </si>
  <si>
    <t>📚  2026高考复盘本  |  第1周 · 第5天</t>
  </si>
  <si>
    <t>📌 第1周 · 第5天  |  时长列填数字(min)，合计行自动计算</t>
  </si>
  <si>
    <t>📚  2026高考复盘本  |  第1周 · 第6天</t>
  </si>
  <si>
    <t>📌 第1周 · 第6天  |  时长列填数字(min)，合计行自动计算</t>
  </si>
  <si>
    <t>📚  2026高考复盘本  |  第1周 · 第7天</t>
  </si>
  <si>
    <t>📌 第1周 · 第7天  |  时长列填数字(min)，合计行自动计算</t>
  </si>
  <si>
    <t>📚  2026高考复盘本  |  第1周 · 周复盘知识点汇总</t>
  </si>
  <si>
    <t>📅  第 1 周  （____月____日 — ____月____日）</t>
  </si>
  <si>
    <t>▌ 本周遗留知识点汇总</t>
  </si>
  <si>
    <t>出现次数
（天）</t>
  </si>
  <si>
    <t>最高
优先级</t>
  </si>
  <si>
    <t>核心问题总结（一句话）</t>
  </si>
  <si>
    <t>处理状态
（周末完成打 ✓）</t>
  </si>
  <si>
    <t>本周遗留知识点总计（条）</t>
  </si>
  <si>
    <t>← D列：知识点条数；E列：出现次数之和（自动计算）</t>
  </si>
  <si>
    <t>▌ 本周知识补漏最大收获（1–2 句）</t>
  </si>
  <si>
    <t>▌ 下周重点攻克专题（选 1–3 个）</t>
  </si>
  <si>
    <t>📌 第1周周复盘  |  E列优先级选下拉，G列处理状态选下拉，条件格式自动着色</t>
  </si>
  <si>
    <t>📖  第1周 · 深度整理卡片 1  |  知识点深度整理记录区</t>
  </si>
  <si>
    <t>✏  整理人：__________</t>
  </si>
  <si>
    <t>科目：</t>
  </si>
  <si>
    <t>日期：____月____日</t>
  </si>
  <si>
    <t xml:space="preserve">  ① 核心定义 / 公式 / 规律</t>
  </si>
  <si>
    <t xml:space="preserve">  ② 易错 / 易混点对比</t>
  </si>
  <si>
    <t xml:space="preserve">  易错情况 / 误区</t>
  </si>
  <si>
    <t xml:space="preserve">  正确做法 / 辨析</t>
  </si>
  <si>
    <t xml:space="preserve">  ③ 关联知识点 / 章节</t>
  </si>
  <si>
    <t xml:space="preserve">  ④ 思维导图草稿区</t>
  </si>
  <si>
    <t xml:space="preserve">→ </t>
  </si>
  <si>
    <t xml:space="preserve">  ⑤ 对应错题 / 例题编号（来源）</t>
  </si>
  <si>
    <t xml:space="preserve">  ⑥ 下次复习建议 &amp; 优先级标记</t>
  </si>
  <si>
    <t xml:space="preserve">  □ 明天再过    □ 本周内    □ 下周    □ 纳入月复盘        优先级：★☆☆</t>
  </si>
  <si>
    <t>▌ 额外手写笔记 / 思维导图扩展区 / 粘贴区</t>
  </si>
  <si>
    <t>✏  此区域供手写笔记、粘贴思维导图截图或补充整理使用</t>
  </si>
  <si>
    <t>📌 第1周 · 深度整理卡片1  |  科目列点击下拉选择，打印后可手绘思维导图</t>
  </si>
  <si>
    <t>📖  第1周 · 深度整理卡片 2  |  知识点深度整理记录区</t>
  </si>
  <si>
    <t>📌 第1周 · 深度整理卡片2  |  科目列点击下拉选择，打印后可手绘思维导图</t>
  </si>
  <si>
    <t>📚  2026高考复盘本  |  第1周 · 第1天</t>
    <phoneticPr fontId="26" type="noConversion"/>
  </si>
  <si>
    <t>📅  日期：__2026__年__4__月__6__日  星期_一___</t>
    <phoneticPr fontId="26" type="noConversion"/>
  </si>
  <si>
    <t>😊 心情/能量：__4__ /5</t>
    <phoneticPr fontId="26" type="noConversion"/>
  </si>
  <si>
    <t>《离骚》讲评，月考试卷讲评</t>
    <phoneticPr fontId="26" type="noConversion"/>
  </si>
  <si>
    <t>今天的状态不错</t>
    <phoneticPr fontId="26" type="noConversion"/>
  </si>
  <si>
    <t>背诵有问题</t>
    <phoneticPr fontId="26" type="noConversion"/>
  </si>
  <si>
    <t>要加强背诵呀</t>
    <phoneticPr fontId="26" type="noConversion"/>
  </si>
  <si>
    <t>套卷讲评</t>
    <phoneticPr fontId="26" type="noConversion"/>
  </si>
  <si>
    <t>还行，套卷T7、T18有疑问</t>
    <phoneticPr fontId="26" type="noConversion"/>
  </si>
  <si>
    <t>马尔科夫链的学习有缺陷</t>
    <phoneticPr fontId="26" type="noConversion"/>
  </si>
  <si>
    <t>UNIT5的词汇讲解</t>
    <phoneticPr fontId="26" type="noConversion"/>
  </si>
  <si>
    <t>dominate的用法不是很清楚</t>
    <phoneticPr fontId="26" type="noConversion"/>
  </si>
  <si>
    <t>按时完成了英语作业</t>
    <phoneticPr fontId="26" type="noConversion"/>
  </si>
  <si>
    <t>复习光部分的内容</t>
    <phoneticPr fontId="26" type="noConversion"/>
  </si>
  <si>
    <t>🌙 睡眠：_7___h</t>
    <phoneticPr fontId="26" type="noConversion"/>
  </si>
  <si>
    <t>羧酸的学习</t>
    <phoneticPr fontId="26" type="noConversion"/>
  </si>
  <si>
    <t>巩固了这部分的知识</t>
    <phoneticPr fontId="26" type="noConversion"/>
  </si>
  <si>
    <t>简谐运动的部分的内容又忘记了</t>
    <phoneticPr fontId="26" type="noConversion"/>
  </si>
  <si>
    <t>无</t>
    <phoneticPr fontId="26" type="noConversion"/>
  </si>
  <si>
    <t>什么是羟醛缩合？</t>
    <phoneticPr fontId="26" type="noConversion"/>
  </si>
  <si>
    <t>选择性必修三粮食安全部分的学习、思维导图</t>
    <phoneticPr fontId="26" type="noConversion"/>
  </si>
  <si>
    <t>粮食安全对国家有什么影响吗？</t>
    <phoneticPr fontId="26" type="noConversion"/>
  </si>
  <si>
    <t>物理</t>
    <phoneticPr fontId="26" type="noConversion"/>
  </si>
  <si>
    <t>💬  今天最大的收获或感悟：强化自己！自律起来！！！</t>
    <phoneticPr fontId="26" type="noConversion"/>
  </si>
  <si>
    <t>⏱ 总学习时长：_6___h</t>
    <phoneticPr fontId="26" type="noConversion"/>
  </si>
  <si>
    <t>折射</t>
    <phoneticPr fontId="26" type="noConversion"/>
  </si>
  <si>
    <t>不同深度的水也会发生折射！（v的大小改变）</t>
    <phoneticPr fontId="26" type="noConversion"/>
  </si>
  <si>
    <t>否</t>
    <phoneticPr fontId="26" type="noConversion"/>
  </si>
  <si>
    <t>数学</t>
    <phoneticPr fontId="26" type="noConversion"/>
  </si>
  <si>
    <t>马尔科夫链</t>
    <phoneticPr fontId="26" type="noConversion"/>
  </si>
  <si>
    <t>记得回代检验</t>
    <phoneticPr fontId="26" type="noConversion"/>
  </si>
  <si>
    <t>是</t>
  </si>
  <si>
    <t>是</t>
    <phoneticPr fontId="26" type="noConversion"/>
  </si>
  <si>
    <t>地理</t>
    <phoneticPr fontId="26" type="noConversion"/>
  </si>
  <si>
    <t>第三章：交通运输</t>
    <phoneticPr fontId="26" type="noConversion"/>
  </si>
  <si>
    <t>高速铁路只有客运，无货运</t>
    <phoneticPr fontId="26" type="noConversion"/>
  </si>
  <si>
    <t>语文</t>
    <phoneticPr fontId="26" type="noConversion"/>
  </si>
  <si>
    <t>《离骚》</t>
    <phoneticPr fontId="26" type="noConversion"/>
  </si>
  <si>
    <t>没背下来</t>
    <phoneticPr fontId="26" type="noConversion"/>
  </si>
  <si>
    <t>化学</t>
    <phoneticPr fontId="26" type="noConversion"/>
  </si>
  <si>
    <t>有机</t>
    <phoneticPr fontId="26" type="noConversion"/>
  </si>
  <si>
    <t>羟醛缩合的本质是羧脱羟基，羟基脱氢</t>
    <phoneticPr fontId="26" type="noConversion"/>
  </si>
  <si>
    <t>① 最重要：马上复盘前面的内容</t>
    <phoneticPr fontId="26" type="noConversion"/>
  </si>
  <si>
    <t>② 次重要：背诵《离骚》</t>
    <phoneticPr fontId="26" type="noConversion"/>
  </si>
  <si>
    <t>《离骚》背诵巩固，文言文实词练习</t>
    <phoneticPr fontId="26" type="noConversion"/>
  </si>
  <si>
    <t>实词练习正确率提升</t>
    <phoneticPr fontId="26" type="noConversion"/>
  </si>
  <si>
    <t>长难句翻译仍有卡顿</t>
    <phoneticPr fontId="26" type="noConversion"/>
  </si>
  <si>
    <t>马尔科夫链专题突破、错题订正</t>
    <phoneticPr fontId="26" type="noConversion"/>
  </si>
  <si>
    <t>基础题型能独立完成</t>
  </si>
  <si>
    <t>复杂情境下的概率模型构建困难</t>
    <phoneticPr fontId="26" type="noConversion"/>
  </si>
  <si>
    <t>UNIT5词汇默写+语法填空训练</t>
    <phoneticPr fontId="26" type="noConversion"/>
  </si>
  <si>
    <t>语法填空正确率达8/10</t>
    <phoneticPr fontId="26" type="noConversion"/>
  </si>
  <si>
    <t>固定搭配易混淆</t>
    <phoneticPr fontId="26" type="noConversion"/>
  </si>
  <si>
    <t>简谐运动专题复习+基础题训练</t>
    <phoneticPr fontId="26" type="noConversion"/>
  </si>
  <si>
    <t>公式推导过程清晰</t>
    <phoneticPr fontId="26" type="noConversion"/>
  </si>
  <si>
    <t>振动图像与波动图像易混淆</t>
    <phoneticPr fontId="26" type="noConversion"/>
  </si>
  <si>
    <t>画图对比记忆</t>
    <phoneticPr fontId="26" type="noConversion"/>
  </si>
  <si>
    <t>羧酸衍生物（酯）的性质学习</t>
    <phoneticPr fontId="26" type="noConversion"/>
  </si>
  <si>
    <t>掌握了酯的水解反应</t>
    <phoneticPr fontId="26" type="noConversion"/>
  </si>
  <si>
    <t>同分异构体书写易漏数</t>
    <phoneticPr fontId="26" type="noConversion"/>
  </si>
  <si>
    <t xml:space="preserve">按步骤分类书写 </t>
    <phoneticPr fontId="26" type="noConversion"/>
  </si>
  <si>
    <t>粮食安全相关习题训练+错题整理</t>
    <phoneticPr fontId="26" type="noConversion"/>
  </si>
  <si>
    <t>选择题正确率提升</t>
    <phoneticPr fontId="26" type="noConversion"/>
  </si>
  <si>
    <t xml:space="preserve"> 主观题答题角度不全面</t>
    <phoneticPr fontId="26" type="noConversion"/>
  </si>
  <si>
    <t xml:space="preserve">背答题模板 </t>
    <phoneticPr fontId="26" type="noConversion"/>
  </si>
  <si>
    <t>文言文翻译</t>
    <phoneticPr fontId="26" type="noConversion"/>
  </si>
  <si>
    <t>宾语前置句翻译易错</t>
  </si>
  <si>
    <t>多步转移概率计算错误</t>
    <phoneticPr fontId="26" type="noConversion"/>
  </si>
  <si>
    <t>酯的同分异构体</t>
  </si>
  <si>
    <t>酯的同分异构体</t>
    <phoneticPr fontId="26" type="noConversion"/>
  </si>
  <si>
    <t>漏写含苯环的酯类结构</t>
    <phoneticPr fontId="26" type="noConversion"/>
  </si>
  <si>
    <t>① 最重要：背诵《离骚》全文</t>
    <phoneticPr fontId="26" type="noConversion"/>
  </si>
  <si>
    <t>② 次重要：整理数学马尔科夫链错题本</t>
    <phoneticPr fontId="26" type="noConversion"/>
  </si>
  <si>
    <t>③ 第三位：背地理主观题答题模板</t>
    <phoneticPr fontId="26" type="noConversion"/>
  </si>
  <si>
    <t>💬  今天最大的收获或感悟：今天状态虽有波动，但错题整理很扎实，明天继续加油！</t>
    <phoneticPr fontId="26" type="noConversion"/>
  </si>
  <si>
    <t>📚  2026高考复盘本  |  第1周 · 第3天</t>
    <phoneticPr fontId="26" type="noConversion"/>
  </si>
  <si>
    <t>《离骚》默写检测，现代文阅读训练</t>
    <phoneticPr fontId="26" type="noConversion"/>
  </si>
  <si>
    <t>默写全对！</t>
    <phoneticPr fontId="26" type="noConversion"/>
  </si>
  <si>
    <t xml:space="preserve">现代文阅读主旨题易跑偏 </t>
    <phoneticPr fontId="26" type="noConversion"/>
  </si>
  <si>
    <t xml:space="preserve"> 数列专题复习（累加法、累乘法）</t>
    <phoneticPr fontId="26" type="noConversion"/>
  </si>
  <si>
    <t>基础题型正确率100%</t>
    <phoneticPr fontId="26" type="noConversion"/>
  </si>
  <si>
    <t>构造法求通项仍不熟练</t>
    <phoneticPr fontId="26" type="noConversion"/>
  </si>
  <si>
    <t>UNIT5词汇复习+阅读理解训练</t>
    <phoneticPr fontId="26" type="noConversion"/>
  </si>
  <si>
    <t>阅读正确率提升</t>
  </si>
  <si>
    <t>光的折射与全反射习题训练</t>
    <phoneticPr fontId="26" type="noConversion"/>
  </si>
  <si>
    <t>公式应用熟练</t>
  </si>
  <si>
    <t>临界角的几何分析易出错</t>
  </si>
  <si>
    <t>酯的水解实验与反应机理学习</t>
  </si>
  <si>
    <t>掌握了酸性/碱性条件下水解的区别</t>
  </si>
  <si>
    <t xml:space="preserve">酯的同分异构体书写仍有问题 按碳链异构分类练习 </t>
  </si>
  <si>
    <t>交通运输网布局影响因素学习</t>
  </si>
  <si>
    <t>掌握了影响交通线布局的主要因素</t>
    <phoneticPr fontId="26" type="noConversion"/>
  </si>
  <si>
    <t>区域背景下的综合分析题答题思路不清晰</t>
  </si>
  <si>
    <t>现代文阅读</t>
  </si>
  <si>
    <t xml:space="preserve">主旨题答题角度不全面 </t>
    <phoneticPr fontId="26" type="noConversion"/>
  </si>
  <si>
    <t>全反射临界角</t>
  </si>
  <si>
    <t>几何关系分析错误</t>
    <phoneticPr fontId="26" type="noConversion"/>
  </si>
  <si>
    <t>漏写官能团位置异构</t>
  </si>
  <si>
    <t>① 最重要：整理数学数列构造法题型</t>
    <phoneticPr fontId="26" type="noConversion"/>
  </si>
  <si>
    <t>② 次重要：练2篇语文现代文阅读主旨题</t>
    <phoneticPr fontId="26" type="noConversion"/>
  </si>
  <si>
    <t>③ 第三位：背英语长难句拆分技巧</t>
    <phoneticPr fontId="26" type="noConversion"/>
  </si>
  <si>
    <t>💬  今天最大的收获或感悟：今天效率超高，知识点掌握很扎实，保持住这个状态！</t>
    <phoneticPr fontId="26" type="noConversion"/>
  </si>
  <si>
    <t>📅  日期：__2026__年___4_月__7__日  星期__二__</t>
    <phoneticPr fontId="26" type="noConversion"/>
  </si>
  <si>
    <t>🌙 睡眠：__7__h</t>
    <phoneticPr fontId="26" type="noConversion"/>
  </si>
  <si>
    <t>📅  日期：_2026___年__4__月__8__日  星期___三_</t>
    <phoneticPr fontId="26" type="noConversion"/>
  </si>
  <si>
    <t>😊 心情/能量：_4___ /5</t>
    <phoneticPr fontId="26" type="noConversion"/>
  </si>
  <si>
    <t>📅  日期：__2026__年__4__月__9__日  星期_四___</t>
    <phoneticPr fontId="26" type="noConversion"/>
  </si>
  <si>
    <t>😊 心情/能量：__3__ /5</t>
    <phoneticPr fontId="26" type="noConversion"/>
  </si>
  <si>
    <t>🌙 睡眠：__9__h</t>
    <phoneticPr fontId="26" type="noConversion"/>
  </si>
  <si>
    <t xml:space="preserve">文言文虚词复习，《离骚》易错点巩固 </t>
  </si>
  <si>
    <t>虚词用法掌握更熟练</t>
  </si>
  <si>
    <t>文言文断句题仍易出错</t>
    <phoneticPr fontId="26" type="noConversion"/>
  </si>
  <si>
    <t>多练断句题</t>
    <phoneticPr fontId="26" type="noConversion"/>
  </si>
  <si>
    <t>数列综合题训练+错题订正</t>
    <phoneticPr fontId="26" type="noConversion"/>
  </si>
  <si>
    <t>基础题正确率高</t>
  </si>
  <si>
    <t xml:space="preserve">放慢计算速度，分步验算 </t>
    <phoneticPr fontId="26" type="noConversion"/>
  </si>
  <si>
    <t>UNIT5单元复习+语法填空专项训练</t>
  </si>
  <si>
    <t>语法填空正确率9/10</t>
  </si>
  <si>
    <t xml:space="preserve"> 非谓语动词用法仍有混淆 整理非谓语动词用法清单</t>
  </si>
  <si>
    <t>有机合成路线分析训练</t>
  </si>
  <si>
    <t>掌握了逆合成分析法的基本思路</t>
    <phoneticPr fontId="26" type="noConversion"/>
  </si>
  <si>
    <t>官能团保护的时机判断不准确</t>
  </si>
  <si>
    <t>交通运输对区域发展的影响学习</t>
  </si>
  <si>
    <t>掌握了答题的基本框架</t>
    <phoneticPr fontId="26" type="noConversion"/>
  </si>
  <si>
    <t>不同区域背景下的影响差异分析不到位</t>
  </si>
  <si>
    <t>简谐运动与机械波综合复习</t>
  </si>
  <si>
    <t xml:space="preserve"> 语文</t>
    <phoneticPr fontId="26" type="noConversion"/>
  </si>
  <si>
    <t>文言文断句</t>
  </si>
  <si>
    <t>虚词处断句错误</t>
  </si>
  <si>
    <t>错位相减法</t>
  </si>
  <si>
    <t>最后一步化简错误</t>
    <phoneticPr fontId="26" type="noConversion"/>
  </si>
  <si>
    <t>波的干涉</t>
  </si>
  <si>
    <t>加强点与减弱点的判断错误</t>
  </si>
  <si>
    <t xml:space="preserve">否 </t>
  </si>
  <si>
    <t>有机合成</t>
  </si>
  <si>
    <t>官能团保护的顺序错误</t>
  </si>
  <si>
    <t xml:space="preserve"> 否 </t>
    <phoneticPr fontId="26" type="noConversion"/>
  </si>
  <si>
    <t>① 最重要：订正数学数列错题，练2道错位相减法</t>
    <phoneticPr fontId="26" type="noConversion"/>
  </si>
  <si>
    <t>② 次重要：练2篇文言文断句题</t>
    <phoneticPr fontId="26" type="noConversion"/>
  </si>
  <si>
    <t>💬  今天最大的收获或感悟：明天继续攻克薄弱点！</t>
    <phoneticPr fontId="26" type="noConversion"/>
  </si>
  <si>
    <t>📅  日期：__2026__年__4__月_10___日  星期__五__</t>
    <phoneticPr fontId="26" type="noConversion"/>
  </si>
  <si>
    <t>😊 心情/能量：__5__ /5</t>
    <phoneticPr fontId="26" type="noConversion"/>
  </si>
  <si>
    <t>🌙 睡眠：__6.5__h</t>
    <phoneticPr fontId="26" type="noConversion"/>
  </si>
  <si>
    <t>文言文断句专项训练</t>
  </si>
  <si>
    <t>断句题正确率提升</t>
  </si>
  <si>
    <t>现代文阅读推断题易出错</t>
  </si>
  <si>
    <t>概率统计专题复习（马尔科夫链、分布列）</t>
  </si>
  <si>
    <t xml:space="preserve">基础题掌握较好 </t>
  </si>
  <si>
    <t>分布列的期望与方差计算易出错</t>
  </si>
  <si>
    <t>分步计算</t>
    <phoneticPr fontId="26" type="noConversion"/>
  </si>
  <si>
    <t>UNIT5词汇检测+完形填空训练</t>
  </si>
  <si>
    <t>词汇默写正确率高</t>
  </si>
  <si>
    <t>完形填空逻辑推理题易选错</t>
  </si>
  <si>
    <t xml:space="preserve">分析上下文逻辑 </t>
  </si>
  <si>
    <t>光的全反射与折射综合题训练</t>
  </si>
  <si>
    <t>几何分析题正确率提升</t>
  </si>
  <si>
    <t>临界情况的判断易遗漏</t>
  </si>
  <si>
    <t xml:space="preserve">考虑所有可能的临界情况 </t>
    <phoneticPr fontId="26" type="noConversion"/>
  </si>
  <si>
    <t>羧酸、酯的综合复习+习题训练</t>
  </si>
  <si>
    <t>知识点串联更清晰</t>
  </si>
  <si>
    <t>有机反应条件的记忆易混淆</t>
  </si>
  <si>
    <t xml:space="preserve">整理反应条件清单 </t>
  </si>
  <si>
    <t xml:space="preserve"> 区域交通发展案例分析（海南环岛高铁</t>
  </si>
  <si>
    <t>能结合案例分析交通线的影响</t>
  </si>
  <si>
    <t>现代文推断题</t>
  </si>
  <si>
    <t>过度推断导致错误</t>
  </si>
  <si>
    <t xml:space="preserve"> 英语 </t>
  </si>
  <si>
    <t>分布列期望</t>
    <phoneticPr fontId="26" type="noConversion"/>
  </si>
  <si>
    <t>完形填空</t>
  </si>
  <si>
    <t>忽略上下文逻辑关系</t>
    <phoneticPr fontId="26" type="noConversion"/>
  </si>
  <si>
    <t>计算时概率和不为1</t>
    <phoneticPr fontId="26" type="noConversion"/>
  </si>
  <si>
    <t>全反射临界情况</t>
  </si>
  <si>
    <t>入射角等于临界角时的状态判断错误</t>
    <phoneticPr fontId="26" type="noConversion"/>
  </si>
  <si>
    <t>有机反应条件</t>
  </si>
  <si>
    <t>酯化反应与酯水解的条件混淆</t>
    <phoneticPr fontId="26" type="noConversion"/>
  </si>
  <si>
    <t>① 最重要：整理数学概率统计错题，练2道分布列题</t>
    <phoneticPr fontId="26" type="noConversion"/>
  </si>
  <si>
    <t>② 次重要：背地理交通类答题术语</t>
    <phoneticPr fontId="26" type="noConversion"/>
  </si>
  <si>
    <t>③ 第三位：练1篇英语完形填空</t>
    <phoneticPr fontId="26" type="noConversion"/>
  </si>
  <si>
    <t xml:space="preserve">💬  今天最大的收获或感悟：虽然有点累，但知识点都过了一遍，周末要好好复盘！
</t>
    <phoneticPr fontId="26" type="noConversion"/>
  </si>
  <si>
    <t>📅  日期：__2026__年_4___月_11___日  星期_六___</t>
    <phoneticPr fontId="26" type="noConversion"/>
  </si>
  <si>
    <t>本周知识点复盘，《离骚》易错点再巩固</t>
  </si>
  <si>
    <t>本周错题复盘完成</t>
  </si>
  <si>
    <t>名句默写仍有个别易错字</t>
  </si>
  <si>
    <t>本周错题复盘，数列与概率专题整合</t>
  </si>
  <si>
    <t>能梳理清楚专题的知识框架</t>
  </si>
  <si>
    <t>UNIT5全单元复习+错题整理</t>
    <phoneticPr fontId="26" type="noConversion"/>
  </si>
  <si>
    <t>单元知识点梳理清晰</t>
  </si>
  <si>
    <t xml:space="preserve">阅读题的同义替换识别不敏感 </t>
  </si>
  <si>
    <t xml:space="preserve">积累同义替换表达 </t>
  </si>
  <si>
    <t>本周知识点复盘，光与简谐运动错题整理</t>
  </si>
  <si>
    <t>错题分析很到位</t>
  </si>
  <si>
    <t>本周有机知识点复盘，羧酸与酯的错题整理</t>
  </si>
  <si>
    <t>能区分不同官能团的反应特性</t>
    <phoneticPr fontId="26" type="noConversion"/>
  </si>
  <si>
    <t>同分异构体书写仍易漏数</t>
    <phoneticPr fontId="26" type="noConversion"/>
  </si>
  <si>
    <t>本周知识点复盘，交通运输与粮食安全专题整合</t>
  </si>
  <si>
    <t>专题知识框架梳理完成</t>
  </si>
  <si>
    <t>区域综合题的答题逻辑不清晰</t>
    <phoneticPr fontId="26" type="noConversion"/>
  </si>
  <si>
    <t>名句默写</t>
  </si>
  <si>
    <t>易错字书写错误</t>
  </si>
  <si>
    <t xml:space="preserve"> 是 </t>
  </si>
  <si>
    <t>综合概率题</t>
    <phoneticPr fontId="26" type="noConversion"/>
  </si>
  <si>
    <t>题意理解偏差导致模型构建错误</t>
    <phoneticPr fontId="26" type="noConversion"/>
  </si>
  <si>
    <t>英语</t>
    <phoneticPr fontId="26" type="noConversion"/>
  </si>
  <si>
    <t>同义替换</t>
    <phoneticPr fontId="26" type="noConversion"/>
  </si>
  <si>
    <t>阅读中同义替换识别不出来</t>
    <phoneticPr fontId="26" type="noConversion"/>
  </si>
  <si>
    <t>① 最重要：完成本周所有错题的二次订正</t>
    <phoneticPr fontId="26" type="noConversion"/>
  </si>
  <si>
    <t>② 次重要：整理本周各学科的知识框架</t>
    <phoneticPr fontId="26" type="noConversion"/>
  </si>
  <si>
    <t>③ 第三位：制定下周的学习计划</t>
    <phoneticPr fontId="26" type="noConversion"/>
  </si>
  <si>
    <t>💬  今天最大的收获或感悟：本周复盘很扎实，下周要继续保持节奏，攻克薄弱点</t>
    <phoneticPr fontId="26" type="noConversion"/>
  </si>
  <si>
    <t>复盘</t>
    <phoneticPr fontId="26" type="noConversion"/>
  </si>
  <si>
    <t>① 最重要：开启下周新专题的学习（语文：诗歌鉴赏）</t>
    <phoneticPr fontId="26" type="noConversion"/>
  </si>
  <si>
    <t>② 次重要：开始数学数列构造法专项突破</t>
    <phoneticPr fontId="26" type="noConversion"/>
  </si>
  <si>
    <t>③ 第三位：背英语完形填空固定搭配</t>
    <phoneticPr fontId="26" type="noConversion"/>
  </si>
  <si>
    <t xml:space="preserve">💬  今天最大的收获或感悟：本周复盘完成！下周要带着目标去学习，针对性突破薄弱点！
</t>
    <phoneticPr fontId="26" type="noConversion"/>
  </si>
  <si>
    <t>📅  日期：__2026__年__4__月__12__日  星期__日__</t>
    <phoneticPr fontId="26" type="noConversion"/>
  </si>
  <si>
    <t>错题二次订正正确率高</t>
  </si>
  <si>
    <t>重做错题正确率明显提升</t>
  </si>
  <si>
    <t>构造法求数列通项仍需加强</t>
    <phoneticPr fontId="26" type="noConversion"/>
  </si>
  <si>
    <t>下周重点突破</t>
  </si>
  <si>
    <t>复盘、 UNIT5知识点回顾，错题重做</t>
    <phoneticPr fontId="26" type="noConversion"/>
  </si>
  <si>
    <t>重做错题正确率提升</t>
  </si>
  <si>
    <t xml:space="preserve">完形填空的固定搭配仍有混淆 </t>
  </si>
  <si>
    <t>复盘（光、简谐运动）</t>
    <phoneticPr fontId="26" type="noConversion"/>
  </si>
  <si>
    <t>波的干涉与叠加问题仍易出错</t>
  </si>
  <si>
    <t xml:space="preserve">多分析真题合成路线 </t>
  </si>
  <si>
    <t>有机合成路线的设计思路不够开阔</t>
  </si>
  <si>
    <t>重做错题正确率提升</t>
    <phoneticPr fontId="26" type="noConversion"/>
  </si>
  <si>
    <t>区域综合题的答题逻辑仍需梳理</t>
    <phoneticPr fontId="26" type="noConversion"/>
  </si>
  <si>
    <t>整理答题逻辑链</t>
  </si>
  <si>
    <t>数列构造法</t>
  </si>
  <si>
    <t>递推式变形的技巧掌握不足</t>
  </si>
  <si>
    <t xml:space="preserve"> 波的干涉与叠加</t>
  </si>
  <si>
    <t xml:space="preserve">条件判断与结果分析错误 </t>
  </si>
  <si>
    <t xml:space="preserve">是 </t>
  </si>
  <si>
    <t>区域综合题</t>
  </si>
  <si>
    <t>答题逻辑链断裂</t>
  </si>
  <si>
    <t>《离骚》背诵与默写</t>
  </si>
  <si>
    <t>背诵不熟练，易错字、易错句反复出错</t>
  </si>
  <si>
    <t>√</t>
  </si>
  <si>
    <t>文言文翻译与断句</t>
  </si>
  <si>
    <t>虚词处断句错误，翻译语言不规范、过度意译</t>
  </si>
  <si>
    <t xml:space="preserve">√ </t>
  </si>
  <si>
    <t>现代文阅读主旨/推断题</t>
    <phoneticPr fontId="26" type="noConversion"/>
  </si>
  <si>
    <t xml:space="preserve">旨题易跑偏，推断题常出现过度推断 </t>
  </si>
  <si>
    <t>马尔科夫链/概率统计</t>
  </si>
  <si>
    <t>多步转移概率计算、分布列期望计算易出错</t>
  </si>
  <si>
    <t>数列构造法/错位相减法</t>
  </si>
  <si>
    <t>递推式变形不熟练，错位相减法最后化简错误</t>
  </si>
  <si>
    <t>UNIT5词汇与固定搭配</t>
  </si>
  <si>
    <t>dominate用法不清，易混淆搭配辨析错误</t>
  </si>
  <si>
    <t>上下文逻辑忽略，定语从句先行词判断错误</t>
  </si>
  <si>
    <t>简谐运动与机械波</t>
  </si>
  <si>
    <t>振动与波动图像混淆，波的干涉/叠加判断错误</t>
  </si>
  <si>
    <t>临界角几何分析、临界状态判断易遗漏</t>
  </si>
  <si>
    <t>光的折射与全反射</t>
  </si>
  <si>
    <t>羧酸与酯的性质</t>
  </si>
  <si>
    <t xml:space="preserve">酯的同分异构体易漏数，反应条件记忆混淆  </t>
  </si>
  <si>
    <t>有机合成路线设计</t>
  </si>
  <si>
    <t xml:space="preserve">逆合成分析思路不清，官能团保护时机判断不准  </t>
  </si>
  <si>
    <t>交通运输网与区域影响</t>
  </si>
  <si>
    <t xml:space="preserve">答题语言不规范，区域综合题逻辑链断裂  </t>
  </si>
  <si>
    <t xml:space="preserve"> 粮食安全的影响与意义</t>
  </si>
  <si>
    <t xml:space="preserve">对国家影响的答题角度不全面，缺乏案例支撑 </t>
  </si>
  <si>
    <t>💡  写下本周最重要的一个突破或领悟：通过每日复盘，我清晰地定位了自己的薄弱专题，尤其是数学数列/概率、物理机械波这两个高频出错点，也养成了“错题当天订正、周末二次复盘”的习惯，复习效率明显提升。</t>
    <phoneticPr fontId="26" type="noConversion"/>
  </si>
  <si>
    <t>① 最优先：数学数列构造法+概率统计（马尔科夫链/分布列）专项突破</t>
    <phoneticPr fontId="26" type="noConversion"/>
  </si>
  <si>
    <t>② 次优先：物理机械波与简谐运动专题训练（图像题+综合题）</t>
    <phoneticPr fontId="26" type="noConversion"/>
  </si>
  <si>
    <t>③ 第三位：语文《离骚》易错点巩固+文言文翻译规范训练</t>
    <phoneticPr fontId="26" type="noConversion"/>
  </si>
  <si>
    <t>📅  第 1 周  （__4__月__6__日 — _4___月__12__日）</t>
    <phoneticPr fontId="26" type="noConversion"/>
  </si>
  <si>
    <t>⏱ 本周总学习时长：__42.1__ 小时</t>
    <phoneticPr fontId="26" type="noConversion"/>
  </si>
  <si>
    <t>📊 平均每天：__6__ 小时</t>
    <phoneticPr fontId="26" type="noConversion"/>
  </si>
  <si>
    <t>📅  第 1 周  （____月____日 — ____月____日）</t>
    <phoneticPr fontId="26" type="noConversion"/>
  </si>
  <si>
    <t>✏  整理人：___刘品皓_______</t>
    <phoneticPr fontId="26" type="noConversion"/>
  </si>
  <si>
    <t>📌  知识点名称：_______数学 · 马尔科夫链_____________________________</t>
    <phoneticPr fontId="26" type="noConversion"/>
  </si>
  <si>
    <t>定义:马尔科夫链的核心是“无后效性”,即下一个状态的概率只与当前状态有关,与之前所有状态无关。
核心公式:设一步转移概率矩阵为 P,则 n 步转移概率矩阵为 P^n。</t>
    <phoneticPr fontId="26" type="noConversion"/>
  </si>
  <si>
    <t>多步转移时,直接用一步概率相乘,忽略矩阵运算</t>
    <phoneticPr fontId="26" type="noConversion"/>
  </si>
  <si>
    <t xml:space="preserve">必须用矩阵乘法，每一步的状态向量都要与转移矩阵相乘 </t>
    <phoneticPr fontId="26" type="noConversion"/>
  </si>
  <si>
    <t>计算完概率后不回代检验，导致概率和不为1</t>
    <phoneticPr fontId="26" type="noConversion"/>
  </si>
  <si>
    <t xml:space="preserve">计算完成后，必须检查所有状态的概率之和是否为1 </t>
    <phoneticPr fontId="26" type="noConversion"/>
  </si>
  <si>
    <t>→ 概率统计 · 离散型随机变量</t>
    <phoneticPr fontId="26" type="noConversion"/>
  </si>
  <si>
    <t>→ 分布列与期望计算</t>
    <phoneticPr fontId="26" type="noConversion"/>
  </si>
  <si>
    <t>→ 条件概率与全概率公式</t>
    <phoneticPr fontId="26" type="noConversion"/>
  </si>
  <si>
    <t>→ 数列递推（马尔科夫链可转化为递推数列求解）</t>
    <phoneticPr fontId="26" type="noConversion"/>
  </si>
  <si>
    <t>✏  此处手绘思维导图
中心主题：马尔科夫链解题框架
- 步骤1：确定状态集合
- 步骤2：写出一步转移概率矩阵
- 步骤3：根据题意写出初始状态向量
- 步骤4：矩阵乘法计算多步概率
- 步骤5：回代检验概率和
______________
（可粘贴思维导图截图）</t>
    <phoneticPr fontId="26" type="noConversion"/>
  </si>
  <si>
    <t>题目编号 / 来源： 题目来源：4月6日数学套卷T18、4月10日概率专题训练第3题</t>
    <phoneticPr fontId="26" type="noConversion"/>
  </si>
  <si>
    <t xml:space="preserve">  □ 明天再过    □ 本周内    □ 下周    □ 纳入月复盘        优先级：★☆☆</t>
    <phoneticPr fontId="26" type="noConversion"/>
  </si>
  <si>
    <t>📌  知识点名称：_________语文 · 《离骚》背诵与易错字___________________________</t>
    <phoneticPr fontId="26" type="noConversion"/>
  </si>
  <si>
    <t>高考必背篇目，考查重点为：易错字、通假字、重点句默写、情感主旨。
- 背诵技巧：按“香草美人”意象分组记忆，理解句子含义再背诵，避免死记硬背。
- 易错点规律：通假字（如“偭规矩而改错”的“错”通“措”）、形近字（如“郁邑”和“郁抑”）、生僻字（如“偭、忳、侘傺”）。</t>
    <phoneticPr fontId="26" type="noConversion"/>
  </si>
  <si>
    <t>“偭规矩而改错”的“错”写成“措”</t>
    <phoneticPr fontId="26" type="noConversion"/>
  </si>
  <si>
    <t xml:space="preserve">原句是“错”，通“措”，默写时必须写原文“错” </t>
    <phoneticPr fontId="26" type="noConversion"/>
  </si>
  <si>
    <t>“何方圜之能周兮”的“圜”写成“圆”</t>
    <phoneticPr fontId="26" type="noConversion"/>
  </si>
  <si>
    <t xml:space="preserve">原文为“圜”，通“圆”，默写必须写“圜” </t>
    <phoneticPr fontId="26" type="noConversion"/>
  </si>
  <si>
    <t>→ 必修下册 · 《离骚》（节选）</t>
    <phoneticPr fontId="26" type="noConversion"/>
  </si>
  <si>
    <t>→ 文言文通假字辨析</t>
    <phoneticPr fontId="26" type="noConversion"/>
  </si>
  <si>
    <t>→ 古代诗歌的“香草美人”比兴手法</t>
    <phoneticPr fontId="26" type="noConversion"/>
  </si>
  <si>
    <t xml:space="preserve">→ 屈原的生平与《离骚》的情感主旨
</t>
    <phoneticPr fontId="26" type="noConversion"/>
  </si>
  <si>
    <t>✏  此处手绘思维导图
中心主题：《离骚》默写核心考点
- 易错字清单
- 通假字汇总
- 高频默写句
- 情感主旨与意象
（可粘贴思维导图截图）</t>
    <phoneticPr fontId="26" type="noConversion"/>
  </si>
  <si>
    <t>题目编号 / 来源：4月6日月考试卷默写题、4月7日《离骚》背诵检测、4月12日全默写检测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</si>
</sst>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&quot;min&quot;"/>
    <numFmt numFmtId="177" formatCode="0&quot; 条&quot;"/>
    <numFmt numFmtId="178" formatCode="0&quot; 次&quot;"/>
  </numFmts>
  <fonts count="27" x14ac:knownFonts="1">
    <font>
      <sz val="11"/>
      <color theme="1"/>
      <name val="宋体"/>
      <family val="2"/>
      <scheme val="minor"/>
    </font>
    <font>
      <b/>
      <sz val="13"/>
      <color rgb="FFFFFFFF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9"/>
      <color rgb="FF000000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b/>
      <sz val="10"/>
      <color rgb="FFC00000"/>
      <name val="微软雅黑"/>
      <family val="2"/>
      <charset val="134"/>
    </font>
    <font>
      <i/>
      <sz val="9"/>
      <color rgb="FF595959"/>
      <name val="微软雅黑"/>
      <family val="2"/>
      <charset val="134"/>
    </font>
    <font>
      <b/>
      <sz val="10"/>
      <color rgb="FF2E4057"/>
      <name val="微软雅黑"/>
      <family val="2"/>
      <charset val="134"/>
    </font>
    <font>
      <i/>
      <sz val="10"/>
      <color rgb="FF595959"/>
      <name val="微软雅黑"/>
      <family val="2"/>
      <charset val="134"/>
    </font>
    <font>
      <i/>
      <sz val="7"/>
      <color rgb="FFAAAAAA"/>
      <name val="微软雅黑"/>
      <family val="2"/>
      <charset val="134"/>
    </font>
    <font>
      <b/>
      <sz val="10"/>
      <color rgb="FF1F3864"/>
      <name val="微软雅黑"/>
      <family val="2"/>
      <charset val="134"/>
    </font>
    <font>
      <sz val="9"/>
      <color rgb="FF595959"/>
      <name val="微软雅黑"/>
      <family val="2"/>
      <charset val="134"/>
    </font>
    <font>
      <b/>
      <sz val="9"/>
      <color rgb="FF1F3864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i/>
      <sz val="7"/>
      <color rgb="FF808080"/>
      <name val="微软雅黑"/>
      <family val="2"/>
      <charset val="134"/>
    </font>
    <font>
      <b/>
      <sz val="12"/>
      <color rgb="FFFFFFFF"/>
      <name val="微软雅黑"/>
      <family val="2"/>
      <charset val="134"/>
    </font>
    <font>
      <sz val="9"/>
      <color rgb="FF1F3864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9"/>
      <color rgb="FFFFFFFF"/>
      <name val="微软雅黑"/>
      <family val="2"/>
      <charset val="134"/>
    </font>
    <font>
      <sz val="8"/>
      <color rgb="FFFFFFFF"/>
      <name val="微软雅黑"/>
      <family val="2"/>
      <charset val="134"/>
    </font>
    <font>
      <sz val="10"/>
      <color rgb="FF595959"/>
      <name val="微软雅黑"/>
      <family val="2"/>
      <charset val="134"/>
    </font>
    <font>
      <i/>
      <sz val="9"/>
      <color rgb="FFA6A6A6"/>
      <name val="微软雅黑"/>
      <family val="2"/>
      <charset val="134"/>
    </font>
    <font>
      <sz val="10"/>
      <color rgb="FF333333"/>
      <name val="微软雅黑"/>
      <family val="2"/>
      <charset val="134"/>
    </font>
    <font>
      <i/>
      <sz val="10"/>
      <color rgb="FF90A4AE"/>
      <name val="微软雅黑"/>
      <family val="2"/>
      <charset val="134"/>
    </font>
    <font>
      <sz val="9"/>
      <name val="宋体"/>
      <family val="3"/>
      <charset val="134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EBF3FB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4CCFF"/>
      </patternFill>
    </fill>
    <fill>
      <patternFill patternType="solid">
        <fgColor rgb="FFD9EAD3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EEF4FB"/>
      </patternFill>
    </fill>
    <fill>
      <patternFill patternType="solid">
        <fgColor rgb="FFFFFDE7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DCE4"/>
      </patternFill>
    </fill>
    <fill>
      <patternFill patternType="solid">
        <fgColor rgb="FFDEEAF1"/>
      </patternFill>
    </fill>
    <fill>
      <patternFill patternType="solid">
        <fgColor rgb="FFC55A11"/>
      </patternFill>
    </fill>
    <fill>
      <patternFill patternType="solid">
        <fgColor rgb="FF843C0C"/>
      </patternFill>
    </fill>
    <fill>
      <patternFill patternType="solid">
        <fgColor rgb="FFFEF6F2"/>
      </patternFill>
    </fill>
    <fill>
      <patternFill patternType="solid">
        <fgColor rgb="FF455A64"/>
      </patternFill>
    </fill>
    <fill>
      <patternFill patternType="solid">
        <fgColor rgb="FFF5F5F5"/>
      </patternFill>
    </fill>
    <fill>
      <patternFill patternType="solid">
        <fgColor rgb="FF1F4E79"/>
      </patternFill>
    </fill>
    <fill>
      <patternFill patternType="solid">
        <fgColor rgb="FFBDD7EE"/>
      </patternFill>
    </fill>
  </fills>
  <borders count="22">
    <border>
      <left/>
      <right/>
      <top/>
      <bottom/>
      <diagonal/>
    </border>
    <border>
      <left style="thin">
        <color rgb="FF2E4057"/>
      </left>
      <right style="thin">
        <color rgb="FF2E4057"/>
      </right>
      <top style="thin">
        <color rgb="FF2E4057"/>
      </top>
      <bottom style="thin">
        <color rgb="FF2E4057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595959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 style="medium">
        <color rgb="FF595959"/>
      </bottom>
      <diagonal/>
    </border>
    <border>
      <left/>
      <right/>
      <top style="thin">
        <color rgb="FFBFBFBF"/>
      </top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medium">
        <color rgb="FFC55A11"/>
      </left>
      <right style="medium">
        <color rgb="FFC55A11"/>
      </right>
      <top style="medium">
        <color rgb="FFC55A11"/>
      </top>
      <bottom style="medium">
        <color rgb="FFC55A11"/>
      </bottom>
      <diagonal/>
    </border>
    <border>
      <left style="medium">
        <color rgb="FF843C0C"/>
      </left>
      <right style="thin">
        <color rgb="FFBFBFBF"/>
      </right>
      <top style="medium">
        <color rgb="FF843C0C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843C0C"/>
      </top>
      <bottom style="thin">
        <color rgb="FFBFBFBF"/>
      </bottom>
      <diagonal/>
    </border>
    <border>
      <left style="thin">
        <color rgb="FFBFBFBF"/>
      </left>
      <right style="medium">
        <color rgb="FF843C0C"/>
      </right>
      <top style="medium">
        <color rgb="FF843C0C"/>
      </top>
      <bottom style="thin">
        <color rgb="FFBFBFBF"/>
      </bottom>
      <diagonal/>
    </border>
    <border>
      <left style="thin">
        <color rgb="FF455A64"/>
      </left>
      <right style="thin">
        <color rgb="FF455A64"/>
      </right>
      <top style="thin">
        <color rgb="FF455A64"/>
      </top>
      <bottom style="thin">
        <color rgb="FF455A64"/>
      </bottom>
      <diagonal/>
    </border>
    <border>
      <left style="medium">
        <color rgb="FF607D8B"/>
      </left>
      <right style="medium">
        <color rgb="FF607D8B"/>
      </right>
      <top style="medium">
        <color rgb="FF607D8B"/>
      </top>
      <bottom style="thin">
        <color rgb="FFBFBFBF"/>
      </bottom>
      <diagonal/>
    </border>
    <border>
      <left style="medium">
        <color rgb="FF607D8B"/>
      </left>
      <right style="medium">
        <color rgb="FF607D8B"/>
      </right>
      <top style="thin">
        <color rgb="FFBFBFBF"/>
      </top>
      <bottom style="thin">
        <color rgb="FFBFBFBF"/>
      </bottom>
      <diagonal/>
    </border>
    <border>
      <left style="medium">
        <color rgb="FF607D8B"/>
      </left>
      <right style="medium">
        <color rgb="FF607D8B"/>
      </right>
      <top style="thin">
        <color rgb="FFBFBFBF"/>
      </top>
      <bottom style="medium">
        <color rgb="FF607D8B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medium">
        <color rgb="FF1F4E79"/>
      </left>
      <right style="thin">
        <color rgb="FFBFBFBF"/>
      </right>
      <top style="medium">
        <color rgb="FF1F4E79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4E79"/>
      </top>
      <bottom style="thin">
        <color rgb="FFBFBFBF"/>
      </bottom>
      <diagonal/>
    </border>
    <border>
      <left style="thin">
        <color rgb="FFBFBFBF"/>
      </left>
      <right style="medium">
        <color rgb="FF1F4E79"/>
      </right>
      <top style="medium">
        <color rgb="FF1F4E79"/>
      </top>
      <bottom style="thin">
        <color rgb="FFBFBFBF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4" fillId="4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5" fillId="5" borderId="5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left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left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left" vertical="center" wrapText="1"/>
    </xf>
    <xf numFmtId="0" fontId="6" fillId="10" borderId="3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left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center" vertical="center" wrapText="1"/>
    </xf>
    <xf numFmtId="176" fontId="7" fillId="5" borderId="3" xfId="0" applyNumberFormat="1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left" vertical="center" wrapText="1"/>
    </xf>
    <xf numFmtId="0" fontId="4" fillId="13" borderId="3" xfId="0" applyFont="1" applyFill="1" applyBorder="1" applyAlignment="1">
      <alignment horizontal="center" vertical="center" wrapText="1"/>
    </xf>
    <xf numFmtId="0" fontId="3" fillId="13" borderId="3" xfId="0" applyFont="1" applyFill="1" applyBorder="1" applyAlignment="1">
      <alignment horizontal="center" vertical="center" wrapText="1"/>
    </xf>
    <xf numFmtId="0" fontId="3" fillId="13" borderId="3" xfId="0" applyFont="1" applyFill="1" applyBorder="1" applyAlignment="1">
      <alignment horizontal="left" vertical="center" wrapText="1"/>
    </xf>
    <xf numFmtId="0" fontId="14" fillId="18" borderId="5" xfId="0" applyFont="1" applyFill="1" applyBorder="1" applyAlignment="1">
      <alignment horizontal="center" vertical="center" wrapText="1"/>
    </xf>
    <xf numFmtId="1" fontId="3" fillId="12" borderId="3" xfId="0" applyNumberFormat="1" applyFont="1" applyFill="1" applyBorder="1" applyAlignment="1">
      <alignment horizontal="center" vertical="center" wrapText="1"/>
    </xf>
    <xf numFmtId="0" fontId="4" fillId="19" borderId="3" xfId="0" applyFont="1" applyFill="1" applyBorder="1" applyAlignment="1">
      <alignment horizontal="center" vertical="center" wrapText="1"/>
    </xf>
    <xf numFmtId="0" fontId="3" fillId="19" borderId="3" xfId="0" applyFont="1" applyFill="1" applyBorder="1" applyAlignment="1">
      <alignment horizontal="center" vertical="center" wrapText="1"/>
    </xf>
    <xf numFmtId="0" fontId="3" fillId="19" borderId="3" xfId="0" applyFont="1" applyFill="1" applyBorder="1" applyAlignment="1">
      <alignment horizontal="left" vertical="center" wrapText="1"/>
    </xf>
    <xf numFmtId="1" fontId="3" fillId="19" borderId="3" xfId="0" applyNumberFormat="1" applyFont="1" applyFill="1" applyBorder="1" applyAlignment="1">
      <alignment horizontal="center" vertical="center" wrapText="1"/>
    </xf>
    <xf numFmtId="177" fontId="15" fillId="8" borderId="3" xfId="0" applyNumberFormat="1" applyFont="1" applyFill="1" applyBorder="1" applyAlignment="1">
      <alignment horizontal="center" vertical="center" wrapText="1"/>
    </xf>
    <xf numFmtId="178" fontId="7" fillId="8" borderId="3" xfId="0" applyNumberFormat="1" applyFont="1" applyFill="1" applyBorder="1" applyAlignment="1">
      <alignment horizontal="center" vertical="center" wrapText="1"/>
    </xf>
    <xf numFmtId="0" fontId="0" fillId="12" borderId="4" xfId="0" applyFill="1" applyBorder="1"/>
    <xf numFmtId="0" fontId="20" fillId="21" borderId="12" xfId="0" applyFont="1" applyFill="1" applyBorder="1" applyAlignment="1">
      <alignment horizontal="center" vertical="center" wrapText="1"/>
    </xf>
    <xf numFmtId="0" fontId="21" fillId="21" borderId="13" xfId="0" applyFont="1" applyFill="1" applyBorder="1" applyAlignment="1">
      <alignment horizontal="center" vertical="center" wrapText="1"/>
    </xf>
    <xf numFmtId="0" fontId="20" fillId="25" borderId="20" xfId="0" applyFont="1" applyFill="1" applyBorder="1" applyAlignment="1">
      <alignment horizontal="center" vertical="center" wrapText="1"/>
    </xf>
    <xf numFmtId="0" fontId="21" fillId="25" borderId="2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0" fillId="0" borderId="0" xfId="0"/>
    <xf numFmtId="0" fontId="8" fillId="5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9" fillId="14" borderId="3" xfId="0" applyFont="1" applyFill="1" applyBorder="1" applyAlignment="1">
      <alignment horizontal="left" vertical="center"/>
    </xf>
    <xf numFmtId="0" fontId="11" fillId="12" borderId="7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10" fillId="15" borderId="6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left" vertical="center"/>
    </xf>
    <xf numFmtId="0" fontId="13" fillId="6" borderId="3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 wrapText="1"/>
    </xf>
    <xf numFmtId="0" fontId="16" fillId="8" borderId="3" xfId="0" applyFont="1" applyFill="1" applyBorder="1" applyAlignment="1">
      <alignment horizontal="left" vertical="center"/>
    </xf>
    <xf numFmtId="0" fontId="2" fillId="17" borderId="9" xfId="0" applyFont="1" applyFill="1" applyBorder="1" applyAlignment="1">
      <alignment horizontal="left" vertical="center"/>
    </xf>
    <xf numFmtId="0" fontId="14" fillId="8" borderId="3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left" vertical="center"/>
    </xf>
    <xf numFmtId="0" fontId="3" fillId="22" borderId="3" xfId="0" applyFont="1" applyFill="1" applyBorder="1" applyAlignment="1">
      <alignment horizontal="left" vertical="center" wrapText="1"/>
    </xf>
    <xf numFmtId="0" fontId="23" fillId="15" borderId="6" xfId="0" applyFont="1" applyFill="1" applyBorder="1" applyAlignment="1">
      <alignment horizontal="center" vertical="center" wrapText="1"/>
    </xf>
    <xf numFmtId="0" fontId="22" fillId="22" borderId="3" xfId="0" applyFont="1" applyFill="1" applyBorder="1" applyAlignment="1">
      <alignment horizontal="left" vertical="center" wrapText="1"/>
    </xf>
    <xf numFmtId="0" fontId="14" fillId="9" borderId="3" xfId="0" applyFont="1" applyFill="1" applyBorder="1" applyAlignment="1">
      <alignment horizontal="left" vertical="center" wrapText="1"/>
    </xf>
    <xf numFmtId="0" fontId="2" fillId="23" borderId="14" xfId="0" applyFont="1" applyFill="1" applyBorder="1" applyAlignment="1">
      <alignment horizontal="left" vertical="center"/>
    </xf>
    <xf numFmtId="0" fontId="14" fillId="4" borderId="3" xfId="0" applyFont="1" applyFill="1" applyBorder="1" applyAlignment="1">
      <alignment horizontal="center" vertical="center" wrapText="1"/>
    </xf>
    <xf numFmtId="0" fontId="18" fillId="6" borderId="3" xfId="0" applyFont="1" applyFill="1" applyBorder="1" applyAlignment="1">
      <alignment horizontal="right" vertical="center"/>
    </xf>
    <xf numFmtId="0" fontId="19" fillId="21" borderId="11" xfId="0" applyFont="1" applyFill="1" applyBorder="1" applyAlignment="1">
      <alignment horizontal="left" vertical="center"/>
    </xf>
    <xf numFmtId="0" fontId="17" fillId="16" borderId="8" xfId="0" applyFont="1" applyFill="1" applyBorder="1" applyAlignment="1">
      <alignment horizontal="center" vertical="center" wrapText="1"/>
    </xf>
    <xf numFmtId="0" fontId="25" fillId="24" borderId="15" xfId="0" applyFont="1" applyFill="1" applyBorder="1" applyAlignment="1">
      <alignment horizontal="center" vertical="center" wrapText="1"/>
    </xf>
    <xf numFmtId="0" fontId="3" fillId="24" borderId="16" xfId="0" applyFont="1" applyFill="1" applyBorder="1" applyAlignment="1">
      <alignment horizontal="left" vertical="center" wrapText="1"/>
    </xf>
    <xf numFmtId="0" fontId="22" fillId="22" borderId="6" xfId="0" applyFont="1" applyFill="1" applyBorder="1" applyAlignment="1">
      <alignment horizontal="left" vertical="top" wrapText="1"/>
    </xf>
    <xf numFmtId="0" fontId="18" fillId="6" borderId="3" xfId="0" applyFont="1" applyFill="1" applyBorder="1" applyAlignment="1">
      <alignment horizontal="left" vertical="center"/>
    </xf>
    <xf numFmtId="0" fontId="3" fillId="20" borderId="10" xfId="0" applyFont="1" applyFill="1" applyBorder="1" applyAlignment="1">
      <alignment horizontal="left" vertical="center" wrapText="1"/>
    </xf>
    <xf numFmtId="0" fontId="3" fillId="22" borderId="6" xfId="0" applyFont="1" applyFill="1" applyBorder="1" applyAlignment="1">
      <alignment horizontal="left" vertical="top" wrapText="1"/>
    </xf>
    <xf numFmtId="0" fontId="24" fillId="22" borderId="6" xfId="0" applyFont="1" applyFill="1" applyBorder="1" applyAlignment="1">
      <alignment horizontal="left" vertical="center" wrapText="1"/>
    </xf>
    <xf numFmtId="0" fontId="3" fillId="24" borderId="17" xfId="0" applyFont="1" applyFill="1" applyBorder="1" applyAlignment="1">
      <alignment horizontal="left" vertical="center" wrapText="1"/>
    </xf>
    <xf numFmtId="0" fontId="3" fillId="6" borderId="3" xfId="0" applyFont="1" applyFill="1" applyBorder="1" applyAlignment="1">
      <alignment horizontal="left" vertical="center" wrapText="1"/>
    </xf>
    <xf numFmtId="0" fontId="22" fillId="6" borderId="3" xfId="0" applyFont="1" applyFill="1" applyBorder="1" applyAlignment="1">
      <alignment horizontal="left" vertical="center" wrapText="1"/>
    </xf>
    <xf numFmtId="0" fontId="14" fillId="26" borderId="3" xfId="0" applyFont="1" applyFill="1" applyBorder="1" applyAlignment="1">
      <alignment horizontal="left" vertical="center" wrapText="1"/>
    </xf>
    <xf numFmtId="0" fontId="19" fillId="25" borderId="19" xfId="0" applyFont="1" applyFill="1" applyBorder="1" applyAlignment="1">
      <alignment horizontal="left" vertical="center"/>
    </xf>
    <xf numFmtId="0" fontId="22" fillId="6" borderId="6" xfId="0" applyFont="1" applyFill="1" applyBorder="1" applyAlignment="1">
      <alignment horizontal="left" vertical="top" wrapText="1"/>
    </xf>
    <xf numFmtId="0" fontId="3" fillId="17" borderId="18" xfId="0" applyFont="1" applyFill="1" applyBorder="1" applyAlignment="1">
      <alignment horizontal="left" vertical="center" wrapText="1"/>
    </xf>
    <xf numFmtId="0" fontId="3" fillId="6" borderId="6" xfId="0" applyFont="1" applyFill="1" applyBorder="1" applyAlignment="1">
      <alignment horizontal="left" vertical="top" wrapText="1"/>
    </xf>
    <xf numFmtId="0" fontId="24" fillId="6" borderId="6" xfId="0" applyFont="1" applyFill="1" applyBorder="1" applyAlignment="1">
      <alignment horizontal="left" vertical="center" wrapText="1"/>
    </xf>
  </cellXfs>
  <cellStyles count="1">
    <cellStyle name="常规" xfId="0" builtinId="0"/>
  </cellStyles>
  <dxfs count="6">
    <dxf>
      <font>
        <color rgb="FF9C0006"/>
      </font>
      <fill>
        <patternFill patternType="solid">
          <fgColor rgb="FFFFC7CE"/>
        </patternFill>
      </fill>
    </dxf>
    <dxf>
      <font>
        <color rgb="FF7B3F00"/>
      </font>
      <fill>
        <patternFill patternType="solid">
          <fgColor rgb="FFFFEB9C"/>
        </patternFill>
      </fill>
    </dxf>
    <dxf>
      <font>
        <b/>
        <color rgb="FF1A6B1A"/>
      </font>
      <fill>
        <patternFill patternType="solid">
          <fgColor rgb="FFC6EFCE"/>
        </patternFill>
      </fill>
    </dxf>
    <dxf>
      <font>
        <b/>
        <color rgb="FF333333"/>
      </font>
      <fill>
        <patternFill patternType="solid">
          <fgColor rgb="FFFFD700"/>
        </patternFill>
      </fill>
    </dxf>
    <dxf>
      <font>
        <b/>
        <color rgb="FFFFFFFF"/>
      </font>
      <fill>
        <patternFill patternType="solid">
          <fgColor rgb="FFFF8C00"/>
        </patternFill>
      </fill>
    </dxf>
    <dxf>
      <font>
        <b/>
        <color rgb="FFFFFFFF"/>
      </font>
      <fill>
        <patternFill patternType="solid">
          <fgColor rgb="FFFF444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1"/>
  <sheetViews>
    <sheetView zoomScale="82" zoomScaleNormal="82" workbookViewId="0">
      <pane ySplit="1" topLeftCell="A2" activePane="bottomLeft" state="frozen"/>
      <selection pane="bottomLeft" activeCell="J25" sqref="J25"/>
    </sheetView>
  </sheetViews>
  <sheetFormatPr defaultRowHeight="13.5" x14ac:dyDescent="0.3"/>
  <cols>
    <col min="1" max="1" width="6" customWidth="1"/>
    <col min="2" max="2" width="24" customWidth="1"/>
    <col min="3" max="3" width="9" customWidth="1"/>
    <col min="4" max="4" width="18" customWidth="1"/>
    <col min="5" max="5" width="24" customWidth="1"/>
    <col min="6" max="6" width="13" customWidth="1"/>
  </cols>
  <sheetData>
    <row r="1" spans="1:6" ht="34.049999999999997" customHeight="1" x14ac:dyDescent="0.3">
      <c r="A1" s="40" t="s">
        <v>70</v>
      </c>
      <c r="B1" s="38"/>
      <c r="C1" s="38"/>
      <c r="D1" s="38"/>
      <c r="E1" s="38"/>
      <c r="F1" s="38"/>
    </row>
    <row r="2" spans="1:6" ht="20" customHeight="1" x14ac:dyDescent="0.3">
      <c r="A2" s="37" t="s">
        <v>0</v>
      </c>
      <c r="B2" s="38"/>
      <c r="C2" s="38"/>
      <c r="D2" s="38"/>
      <c r="E2" s="38"/>
      <c r="F2" s="38"/>
    </row>
    <row r="3" spans="1:6" ht="28.05" customHeight="1" x14ac:dyDescent="0.3">
      <c r="A3" s="45" t="s">
        <v>71</v>
      </c>
      <c r="B3" s="38"/>
      <c r="C3" s="1" t="s">
        <v>94</v>
      </c>
      <c r="D3" s="1" t="s">
        <v>84</v>
      </c>
      <c r="E3" s="46" t="s">
        <v>72</v>
      </c>
      <c r="F3" s="38"/>
    </row>
    <row r="4" spans="1:6" ht="5" customHeight="1" x14ac:dyDescent="0.3">
      <c r="A4" s="2"/>
      <c r="B4" s="2"/>
      <c r="C4" s="2"/>
      <c r="D4" s="2"/>
      <c r="E4" s="2"/>
      <c r="F4" s="2"/>
    </row>
    <row r="5" spans="1:6" ht="20" customHeight="1" x14ac:dyDescent="0.3">
      <c r="A5" s="37" t="s">
        <v>4</v>
      </c>
      <c r="B5" s="38"/>
      <c r="C5" s="38"/>
      <c r="D5" s="38"/>
      <c r="E5" s="38"/>
      <c r="F5" s="38"/>
    </row>
    <row r="6" spans="1:6" ht="36" customHeight="1" x14ac:dyDescent="0.3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</row>
    <row r="7" spans="1:6" ht="46.05" customHeight="1" x14ac:dyDescent="0.3">
      <c r="A7" s="4" t="s">
        <v>11</v>
      </c>
      <c r="B7" s="5" t="s">
        <v>73</v>
      </c>
      <c r="C7" s="5">
        <v>80</v>
      </c>
      <c r="D7" s="5" t="s">
        <v>74</v>
      </c>
      <c r="E7" s="5" t="s">
        <v>75</v>
      </c>
      <c r="F7" s="5" t="s">
        <v>76</v>
      </c>
    </row>
    <row r="8" spans="1:6" ht="46.05" customHeight="1" x14ac:dyDescent="0.3">
      <c r="A8" s="6" t="s">
        <v>12</v>
      </c>
      <c r="B8" s="7" t="s">
        <v>77</v>
      </c>
      <c r="C8" s="7">
        <v>60</v>
      </c>
      <c r="D8" s="7" t="s">
        <v>78</v>
      </c>
      <c r="E8" s="7" t="s">
        <v>79</v>
      </c>
      <c r="F8" s="7"/>
    </row>
    <row r="9" spans="1:6" ht="46.05" customHeight="1" x14ac:dyDescent="0.3">
      <c r="A9" s="8" t="s">
        <v>13</v>
      </c>
      <c r="B9" s="9" t="s">
        <v>80</v>
      </c>
      <c r="C9" s="9">
        <v>40</v>
      </c>
      <c r="D9" s="9" t="s">
        <v>82</v>
      </c>
      <c r="E9" s="9" t="s">
        <v>81</v>
      </c>
      <c r="F9" s="9"/>
    </row>
    <row r="10" spans="1:6" ht="46.05" customHeight="1" x14ac:dyDescent="0.3">
      <c r="A10" s="10" t="s">
        <v>14</v>
      </c>
      <c r="B10" s="11" t="s">
        <v>83</v>
      </c>
      <c r="C10" s="11">
        <v>60</v>
      </c>
      <c r="D10" s="11" t="s">
        <v>86</v>
      </c>
      <c r="E10" s="11" t="s">
        <v>87</v>
      </c>
      <c r="F10" s="11"/>
    </row>
    <row r="11" spans="1:6" ht="46.05" customHeight="1" x14ac:dyDescent="0.3">
      <c r="A11" s="12" t="s">
        <v>15</v>
      </c>
      <c r="B11" s="13" t="s">
        <v>85</v>
      </c>
      <c r="C11" s="13">
        <v>40</v>
      </c>
      <c r="D11" s="13" t="s">
        <v>88</v>
      </c>
      <c r="E11" s="13" t="s">
        <v>89</v>
      </c>
      <c r="F11" s="13"/>
    </row>
    <row r="12" spans="1:6" ht="46.05" customHeight="1" x14ac:dyDescent="0.3">
      <c r="A12" s="14" t="s">
        <v>16</v>
      </c>
      <c r="B12" s="15" t="s">
        <v>90</v>
      </c>
      <c r="C12" s="15">
        <v>60</v>
      </c>
      <c r="D12" s="15" t="s">
        <v>88</v>
      </c>
      <c r="E12" s="15" t="s">
        <v>91</v>
      </c>
      <c r="F12" s="15"/>
    </row>
    <row r="13" spans="1:6" ht="22.05" customHeight="1" x14ac:dyDescent="0.3">
      <c r="A13" s="43" t="s">
        <v>17</v>
      </c>
      <c r="B13" s="38"/>
      <c r="C13" s="17">
        <f>IFERROR(SUM(C7:C12),0)</f>
        <v>340</v>
      </c>
      <c r="D13" s="39" t="str">
        <f>IFERROR(TEXT(C13/60,"0.0")&amp;" h  ≈  "&amp;TEXT(C13/60,"0")&amp;" h","—")</f>
        <v>5.7 h  ≈  6 h</v>
      </c>
      <c r="E13" s="38"/>
      <c r="F13" s="38"/>
    </row>
    <row r="14" spans="1:6" ht="5" customHeight="1" x14ac:dyDescent="0.3">
      <c r="A14" s="2"/>
      <c r="B14" s="2"/>
      <c r="C14" s="2"/>
      <c r="D14" s="2"/>
      <c r="E14" s="2"/>
      <c r="F14" s="2"/>
    </row>
    <row r="15" spans="1:6" ht="20" customHeight="1" x14ac:dyDescent="0.3">
      <c r="A15" s="37" t="s">
        <v>18</v>
      </c>
      <c r="B15" s="38"/>
      <c r="C15" s="38"/>
      <c r="D15" s="38"/>
      <c r="E15" s="38"/>
      <c r="F15" s="38"/>
    </row>
    <row r="16" spans="1:6" ht="34.049999999999997" customHeight="1" x14ac:dyDescent="0.3">
      <c r="A16" s="16" t="s">
        <v>19</v>
      </c>
      <c r="B16" s="16" t="s">
        <v>5</v>
      </c>
      <c r="C16" s="16" t="s">
        <v>20</v>
      </c>
      <c r="D16" s="16" t="s">
        <v>21</v>
      </c>
      <c r="E16" s="16" t="s">
        <v>22</v>
      </c>
      <c r="F16" s="16" t="s">
        <v>23</v>
      </c>
    </row>
    <row r="17" spans="1:6" ht="38" customHeight="1" x14ac:dyDescent="0.3">
      <c r="A17" s="18">
        <v>1</v>
      </c>
      <c r="B17" s="19" t="s">
        <v>92</v>
      </c>
      <c r="C17" s="20" t="s">
        <v>95</v>
      </c>
      <c r="D17" s="20" t="s">
        <v>96</v>
      </c>
      <c r="E17" s="20">
        <v>3</v>
      </c>
      <c r="F17" s="19" t="s">
        <v>97</v>
      </c>
    </row>
    <row r="18" spans="1:6" ht="38" customHeight="1" x14ac:dyDescent="0.3">
      <c r="A18" s="21">
        <v>2</v>
      </c>
      <c r="B18" s="22" t="s">
        <v>98</v>
      </c>
      <c r="C18" s="23" t="s">
        <v>99</v>
      </c>
      <c r="D18" s="23" t="s">
        <v>100</v>
      </c>
      <c r="E18" s="23">
        <v>2</v>
      </c>
      <c r="F18" s="22" t="s">
        <v>102</v>
      </c>
    </row>
    <row r="19" spans="1:6" ht="38" customHeight="1" x14ac:dyDescent="0.3">
      <c r="A19" s="18">
        <v>3</v>
      </c>
      <c r="B19" s="19" t="s">
        <v>103</v>
      </c>
      <c r="C19" s="20" t="s">
        <v>104</v>
      </c>
      <c r="D19" s="20" t="s">
        <v>105</v>
      </c>
      <c r="E19" s="20">
        <v>4</v>
      </c>
      <c r="F19" s="19" t="s">
        <v>97</v>
      </c>
    </row>
    <row r="20" spans="1:6" ht="38" customHeight="1" x14ac:dyDescent="0.3">
      <c r="A20" s="21">
        <v>4</v>
      </c>
      <c r="B20" s="22" t="s">
        <v>106</v>
      </c>
      <c r="C20" s="23" t="s">
        <v>107</v>
      </c>
      <c r="D20" s="23" t="s">
        <v>108</v>
      </c>
      <c r="E20" s="23">
        <v>1</v>
      </c>
      <c r="F20" s="22" t="s">
        <v>102</v>
      </c>
    </row>
    <row r="21" spans="1:6" ht="38" customHeight="1" x14ac:dyDescent="0.3">
      <c r="A21" s="18">
        <v>5</v>
      </c>
      <c r="B21" s="19" t="s">
        <v>109</v>
      </c>
      <c r="C21" s="20" t="s">
        <v>110</v>
      </c>
      <c r="D21" s="20" t="s">
        <v>111</v>
      </c>
      <c r="E21" s="20">
        <v>5</v>
      </c>
      <c r="F21" s="19" t="s">
        <v>88</v>
      </c>
    </row>
    <row r="22" spans="1:6" ht="38" customHeight="1" x14ac:dyDescent="0.3">
      <c r="A22" s="21">
        <v>6</v>
      </c>
      <c r="B22" s="22"/>
      <c r="C22" s="23"/>
      <c r="D22" s="23"/>
      <c r="E22" s="23"/>
      <c r="F22" s="22"/>
    </row>
    <row r="23" spans="1:6" ht="5" customHeight="1" x14ac:dyDescent="0.3">
      <c r="A23" s="2"/>
      <c r="B23" s="2"/>
      <c r="C23" s="2"/>
      <c r="D23" s="2"/>
      <c r="E23" s="2"/>
      <c r="F23" s="2"/>
    </row>
    <row r="24" spans="1:6" ht="20" customHeight="1" x14ac:dyDescent="0.3">
      <c r="A24" s="37" t="s">
        <v>24</v>
      </c>
      <c r="B24" s="38"/>
      <c r="C24" s="38"/>
      <c r="D24" s="38"/>
      <c r="E24" s="38"/>
      <c r="F24" s="38"/>
    </row>
    <row r="25" spans="1:6" ht="30" customHeight="1" x14ac:dyDescent="0.3">
      <c r="A25" s="41" t="s">
        <v>112</v>
      </c>
      <c r="B25" s="38"/>
      <c r="C25" s="38"/>
      <c r="D25" s="38"/>
      <c r="E25" s="38"/>
      <c r="F25" s="38"/>
    </row>
    <row r="26" spans="1:6" ht="30" customHeight="1" x14ac:dyDescent="0.3">
      <c r="A26" s="41" t="s">
        <v>113</v>
      </c>
      <c r="B26" s="38"/>
      <c r="C26" s="38"/>
      <c r="D26" s="38"/>
      <c r="E26" s="38"/>
      <c r="F26" s="38"/>
    </row>
    <row r="27" spans="1:6" ht="30" customHeight="1" x14ac:dyDescent="0.3">
      <c r="A27" s="41" t="s">
        <v>25</v>
      </c>
      <c r="B27" s="38"/>
      <c r="C27" s="38"/>
      <c r="D27" s="38"/>
      <c r="E27" s="38"/>
      <c r="F27" s="38"/>
    </row>
    <row r="28" spans="1:6" ht="5" customHeight="1" x14ac:dyDescent="0.3">
      <c r="A28" s="2"/>
      <c r="B28" s="2"/>
      <c r="C28" s="2"/>
      <c r="D28" s="2"/>
      <c r="E28" s="2"/>
      <c r="F28" s="2"/>
    </row>
    <row r="29" spans="1:6" ht="20" customHeight="1" x14ac:dyDescent="0.3">
      <c r="A29" s="37" t="s">
        <v>26</v>
      </c>
      <c r="B29" s="38"/>
      <c r="C29" s="38"/>
      <c r="D29" s="38"/>
      <c r="E29" s="38"/>
      <c r="F29" s="38"/>
    </row>
    <row r="30" spans="1:6" ht="56" customHeight="1" x14ac:dyDescent="0.3">
      <c r="A30" s="44" t="s">
        <v>93</v>
      </c>
      <c r="B30" s="38"/>
      <c r="C30" s="38"/>
      <c r="D30" s="38"/>
      <c r="E30" s="38"/>
      <c r="F30" s="38"/>
    </row>
    <row r="31" spans="1:6" ht="14" customHeight="1" x14ac:dyDescent="0.3">
      <c r="A31" s="42" t="s">
        <v>27</v>
      </c>
      <c r="B31" s="38"/>
      <c r="C31" s="38"/>
      <c r="D31" s="38"/>
      <c r="E31" s="38"/>
      <c r="F31" s="38"/>
    </row>
  </sheetData>
  <mergeCells count="15">
    <mergeCell ref="A29:F29"/>
    <mergeCell ref="A27:F27"/>
    <mergeCell ref="A31:F31"/>
    <mergeCell ref="A13:B13"/>
    <mergeCell ref="A26:F26"/>
    <mergeCell ref="A30:F30"/>
    <mergeCell ref="A15:F15"/>
    <mergeCell ref="A25:F25"/>
    <mergeCell ref="A24:F24"/>
    <mergeCell ref="A2:F2"/>
    <mergeCell ref="D13:F13"/>
    <mergeCell ref="A1:F1"/>
    <mergeCell ref="A5:F5"/>
    <mergeCell ref="A3:B3"/>
    <mergeCell ref="E3:F3"/>
  </mergeCells>
  <phoneticPr fontId="26" type="noConversion"/>
  <conditionalFormatting sqref="E17:E22">
    <cfRule type="colorScale" priority="1">
      <colorScale>
        <cfvo type="num" val="1"/>
        <cfvo type="num" val="3"/>
        <cfvo type="num" val="5"/>
        <color rgb="FFFF4444"/>
        <color rgb="FFFFDD44"/>
        <color rgb="FF44BB44"/>
      </colorScale>
    </cfRule>
  </conditionalFormatting>
  <dataValidations count="2">
    <dataValidation type="list" allowBlank="1" sqref="B17 B18 B19 B20 B21 B22" xr:uid="{00000000-0002-0000-0000-000000000000}">
      <formula1>"语文,数学,英语,物理,化学,地理"</formula1>
    </dataValidation>
    <dataValidation type="list" allowBlank="1" sqref="F17 F18 F19 F20 F21 F22" xr:uid="{00000000-0002-0000-0000-000001000000}">
      <formula1>"是,否,周末"</formula1>
    </dataValidation>
  </dataValidations>
  <pageMargins left="0.70899999999999996" right="0.70899999999999996" top="0.80899999999999994" bottom="0.80899999999999994" header="0.3" footer="0.3"/>
  <pageSetup paperSize="9" fitToHeight="0" orientation="portrait"/>
  <headerFooter>
    <oddHeader>&amp;C&amp;"微软雅黑"&amp;9 2026高考复盘本 · 第1周 · 日1复盘</oddHeader>
    <oddFooter>&amp;L&amp;8 Toni Leigha&amp;R&amp;8 第 &amp;P 页 / 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31"/>
  <sheetViews>
    <sheetView zoomScale="83" zoomScaleNormal="83" workbookViewId="0">
      <pane ySplit="1" topLeftCell="A2" activePane="bottomLeft" state="frozen"/>
      <selection pane="bottomLeft" activeCell="D7" sqref="D7"/>
    </sheetView>
  </sheetViews>
  <sheetFormatPr defaultRowHeight="13.5" x14ac:dyDescent="0.3"/>
  <cols>
    <col min="1" max="1" width="6" customWidth="1"/>
    <col min="2" max="2" width="24" customWidth="1"/>
    <col min="3" max="3" width="9" customWidth="1"/>
    <col min="4" max="4" width="18" customWidth="1"/>
    <col min="5" max="5" width="24" customWidth="1"/>
    <col min="6" max="6" width="13" customWidth="1"/>
  </cols>
  <sheetData>
    <row r="1" spans="1:6" ht="34.049999999999997" customHeight="1" x14ac:dyDescent="0.3">
      <c r="A1" s="40" t="s">
        <v>28</v>
      </c>
      <c r="B1" s="38"/>
      <c r="C1" s="38"/>
      <c r="D1" s="38"/>
      <c r="E1" s="38"/>
      <c r="F1" s="38"/>
    </row>
    <row r="2" spans="1:6" ht="20" customHeight="1" x14ac:dyDescent="0.3">
      <c r="A2" s="37" t="s">
        <v>0</v>
      </c>
      <c r="B2" s="38"/>
      <c r="C2" s="38"/>
      <c r="D2" s="38"/>
      <c r="E2" s="38"/>
      <c r="F2" s="38"/>
    </row>
    <row r="3" spans="1:6" ht="28.05" customHeight="1" x14ac:dyDescent="0.3">
      <c r="A3" s="45" t="s">
        <v>172</v>
      </c>
      <c r="B3" s="38"/>
      <c r="C3" s="1" t="s">
        <v>1</v>
      </c>
      <c r="D3" s="1" t="s">
        <v>173</v>
      </c>
      <c r="E3" s="46" t="s">
        <v>72</v>
      </c>
      <c r="F3" s="38"/>
    </row>
    <row r="4" spans="1:6" ht="5" customHeight="1" x14ac:dyDescent="0.3">
      <c r="A4" s="2"/>
      <c r="B4" s="2"/>
      <c r="C4" s="2"/>
      <c r="D4" s="2"/>
      <c r="E4" s="2"/>
      <c r="F4" s="2"/>
    </row>
    <row r="5" spans="1:6" ht="20" customHeight="1" x14ac:dyDescent="0.3">
      <c r="A5" s="37" t="s">
        <v>4</v>
      </c>
      <c r="B5" s="38"/>
      <c r="C5" s="38"/>
      <c r="D5" s="38"/>
      <c r="E5" s="38"/>
      <c r="F5" s="38"/>
    </row>
    <row r="6" spans="1:6" ht="36" customHeight="1" x14ac:dyDescent="0.3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</row>
    <row r="7" spans="1:6" ht="46.05" customHeight="1" x14ac:dyDescent="0.3">
      <c r="A7" s="4" t="s">
        <v>11</v>
      </c>
      <c r="B7" s="5" t="s">
        <v>114</v>
      </c>
      <c r="C7" s="5">
        <v>70</v>
      </c>
      <c r="D7" s="5" t="s">
        <v>115</v>
      </c>
      <c r="E7" s="5" t="s">
        <v>116</v>
      </c>
      <c r="F7" s="5"/>
    </row>
    <row r="8" spans="1:6" ht="46.05" customHeight="1" x14ac:dyDescent="0.3">
      <c r="A8" s="6" t="s">
        <v>12</v>
      </c>
      <c r="B8" s="7" t="s">
        <v>117</v>
      </c>
      <c r="C8" s="7">
        <v>70</v>
      </c>
      <c r="D8" s="7" t="s">
        <v>118</v>
      </c>
      <c r="E8" s="7" t="s">
        <v>119</v>
      </c>
      <c r="F8" s="7"/>
    </row>
    <row r="9" spans="1:6" ht="46.05" customHeight="1" x14ac:dyDescent="0.3">
      <c r="A9" s="8" t="s">
        <v>13</v>
      </c>
      <c r="B9" s="9" t="s">
        <v>120</v>
      </c>
      <c r="C9" s="9">
        <v>50</v>
      </c>
      <c r="D9" s="9" t="s">
        <v>121</v>
      </c>
      <c r="E9" s="9" t="s">
        <v>122</v>
      </c>
      <c r="F9" s="9"/>
    </row>
    <row r="10" spans="1:6" ht="46.05" customHeight="1" x14ac:dyDescent="0.3">
      <c r="A10" s="10" t="s">
        <v>14</v>
      </c>
      <c r="B10" s="11" t="s">
        <v>123</v>
      </c>
      <c r="C10" s="11">
        <v>60</v>
      </c>
      <c r="D10" s="11" t="s">
        <v>124</v>
      </c>
      <c r="E10" s="11" t="s">
        <v>125</v>
      </c>
      <c r="F10" s="11" t="s">
        <v>126</v>
      </c>
    </row>
    <row r="11" spans="1:6" ht="46.05" customHeight="1" x14ac:dyDescent="0.3">
      <c r="A11" s="12" t="s">
        <v>15</v>
      </c>
      <c r="B11" s="13" t="s">
        <v>127</v>
      </c>
      <c r="C11" s="13">
        <v>45</v>
      </c>
      <c r="D11" s="13" t="s">
        <v>128</v>
      </c>
      <c r="E11" s="13" t="s">
        <v>129</v>
      </c>
      <c r="F11" s="13" t="s">
        <v>130</v>
      </c>
    </row>
    <row r="12" spans="1:6" ht="46.05" customHeight="1" x14ac:dyDescent="0.3">
      <c r="A12" s="14" t="s">
        <v>16</v>
      </c>
      <c r="B12" s="15" t="s">
        <v>131</v>
      </c>
      <c r="C12" s="15">
        <v>60</v>
      </c>
      <c r="D12" s="15" t="s">
        <v>132</v>
      </c>
      <c r="E12" s="15" t="s">
        <v>133</v>
      </c>
      <c r="F12" s="15" t="s">
        <v>134</v>
      </c>
    </row>
    <row r="13" spans="1:6" ht="22.05" customHeight="1" x14ac:dyDescent="0.3">
      <c r="A13" s="43" t="s">
        <v>17</v>
      </c>
      <c r="B13" s="38"/>
      <c r="C13" s="17">
        <f>IFERROR(SUM(C7:C12),0)</f>
        <v>355</v>
      </c>
      <c r="D13" s="39" t="str">
        <f>IFERROR(TEXT(C13/60,"0.0")&amp;" h  ≈  "&amp;TEXT(C13/60,"0")&amp;" h","—")</f>
        <v>5.9 h  ≈  6 h</v>
      </c>
      <c r="E13" s="38"/>
      <c r="F13" s="38"/>
    </row>
    <row r="14" spans="1:6" ht="5" customHeight="1" x14ac:dyDescent="0.3">
      <c r="A14" s="2"/>
      <c r="B14" s="2"/>
      <c r="C14" s="2"/>
      <c r="D14" s="2"/>
      <c r="E14" s="2"/>
      <c r="F14" s="2"/>
    </row>
    <row r="15" spans="1:6" ht="20" customHeight="1" x14ac:dyDescent="0.3">
      <c r="A15" s="37" t="s">
        <v>18</v>
      </c>
      <c r="B15" s="38"/>
      <c r="C15" s="38"/>
      <c r="D15" s="38"/>
      <c r="E15" s="38"/>
      <c r="F15" s="38"/>
    </row>
    <row r="16" spans="1:6" ht="34.049999999999997" customHeight="1" x14ac:dyDescent="0.3">
      <c r="A16" s="16" t="s">
        <v>19</v>
      </c>
      <c r="B16" s="16" t="s">
        <v>5</v>
      </c>
      <c r="C16" s="16" t="s">
        <v>20</v>
      </c>
      <c r="D16" s="16" t="s">
        <v>21</v>
      </c>
      <c r="E16" s="16" t="s">
        <v>22</v>
      </c>
      <c r="F16" s="16" t="s">
        <v>23</v>
      </c>
    </row>
    <row r="17" spans="1:6" ht="38" customHeight="1" x14ac:dyDescent="0.3">
      <c r="A17" s="18">
        <v>1</v>
      </c>
      <c r="B17" s="19" t="s">
        <v>106</v>
      </c>
      <c r="C17" s="20" t="s">
        <v>135</v>
      </c>
      <c r="D17" s="20" t="s">
        <v>136</v>
      </c>
      <c r="E17" s="20">
        <v>2</v>
      </c>
      <c r="F17" s="19" t="s">
        <v>102</v>
      </c>
    </row>
    <row r="18" spans="1:6" ht="38" customHeight="1" x14ac:dyDescent="0.3">
      <c r="A18" s="21">
        <v>2</v>
      </c>
      <c r="B18" s="22" t="s">
        <v>98</v>
      </c>
      <c r="C18" s="23" t="s">
        <v>99</v>
      </c>
      <c r="D18" s="23" t="s">
        <v>137</v>
      </c>
      <c r="E18" s="23">
        <v>2</v>
      </c>
      <c r="F18" s="22" t="s">
        <v>102</v>
      </c>
    </row>
    <row r="19" spans="1:6" ht="38" customHeight="1" x14ac:dyDescent="0.3">
      <c r="A19" s="18">
        <v>3</v>
      </c>
      <c r="B19" s="19" t="s">
        <v>109</v>
      </c>
      <c r="C19" s="20" t="s">
        <v>139</v>
      </c>
      <c r="D19" s="20" t="s">
        <v>140</v>
      </c>
      <c r="E19" s="20">
        <v>3</v>
      </c>
      <c r="F19" s="19" t="s">
        <v>97</v>
      </c>
    </row>
    <row r="20" spans="1:6" ht="38" customHeight="1" x14ac:dyDescent="0.3">
      <c r="A20" s="21">
        <v>4</v>
      </c>
      <c r="B20" s="22"/>
      <c r="C20" s="23"/>
      <c r="D20" s="23"/>
      <c r="E20" s="23"/>
      <c r="F20" s="22"/>
    </row>
    <row r="21" spans="1:6" ht="38" customHeight="1" x14ac:dyDescent="0.3">
      <c r="A21" s="18">
        <v>5</v>
      </c>
      <c r="B21" s="19"/>
      <c r="C21" s="20"/>
      <c r="D21" s="20"/>
      <c r="E21" s="20"/>
      <c r="F21" s="19"/>
    </row>
    <row r="22" spans="1:6" ht="38" customHeight="1" x14ac:dyDescent="0.3">
      <c r="A22" s="21">
        <v>6</v>
      </c>
      <c r="B22" s="22"/>
      <c r="C22" s="23"/>
      <c r="D22" s="23"/>
      <c r="E22" s="23"/>
      <c r="F22" s="22"/>
    </row>
    <row r="23" spans="1:6" ht="5" customHeight="1" x14ac:dyDescent="0.3">
      <c r="A23" s="2"/>
      <c r="B23" s="2"/>
      <c r="C23" s="2"/>
      <c r="D23" s="2"/>
      <c r="E23" s="2"/>
      <c r="F23" s="2"/>
    </row>
    <row r="24" spans="1:6" ht="20" customHeight="1" x14ac:dyDescent="0.3">
      <c r="A24" s="37" t="s">
        <v>24</v>
      </c>
      <c r="B24" s="38"/>
      <c r="C24" s="38"/>
      <c r="D24" s="38"/>
      <c r="E24" s="38"/>
      <c r="F24" s="38"/>
    </row>
    <row r="25" spans="1:6" ht="30" customHeight="1" x14ac:dyDescent="0.3">
      <c r="A25" s="41" t="s">
        <v>141</v>
      </c>
      <c r="B25" s="38"/>
      <c r="C25" s="38"/>
      <c r="D25" s="38"/>
      <c r="E25" s="38"/>
      <c r="F25" s="38"/>
    </row>
    <row r="26" spans="1:6" ht="30" customHeight="1" x14ac:dyDescent="0.3">
      <c r="A26" s="41" t="s">
        <v>142</v>
      </c>
      <c r="B26" s="38"/>
      <c r="C26" s="38"/>
      <c r="D26" s="38"/>
      <c r="E26" s="38"/>
      <c r="F26" s="38"/>
    </row>
    <row r="27" spans="1:6" ht="30" customHeight="1" x14ac:dyDescent="0.3">
      <c r="A27" s="41" t="s">
        <v>143</v>
      </c>
      <c r="B27" s="38"/>
      <c r="C27" s="38"/>
      <c r="D27" s="38"/>
      <c r="E27" s="38"/>
      <c r="F27" s="38"/>
    </row>
    <row r="28" spans="1:6" ht="5" customHeight="1" x14ac:dyDescent="0.3">
      <c r="A28" s="2"/>
      <c r="B28" s="2"/>
      <c r="C28" s="2"/>
      <c r="D28" s="2"/>
      <c r="E28" s="2"/>
      <c r="F28" s="2"/>
    </row>
    <row r="29" spans="1:6" ht="20" customHeight="1" x14ac:dyDescent="0.3">
      <c r="A29" s="37" t="s">
        <v>26</v>
      </c>
      <c r="B29" s="38"/>
      <c r="C29" s="38"/>
      <c r="D29" s="38"/>
      <c r="E29" s="38"/>
      <c r="F29" s="38"/>
    </row>
    <row r="30" spans="1:6" ht="56" customHeight="1" x14ac:dyDescent="0.3">
      <c r="A30" s="44" t="s">
        <v>144</v>
      </c>
      <c r="B30" s="38"/>
      <c r="C30" s="38"/>
      <c r="D30" s="38"/>
      <c r="E30" s="38"/>
      <c r="F30" s="38"/>
    </row>
    <row r="31" spans="1:6" ht="14" customHeight="1" x14ac:dyDescent="0.3">
      <c r="A31" s="42" t="s">
        <v>29</v>
      </c>
      <c r="B31" s="38"/>
      <c r="C31" s="38"/>
      <c r="D31" s="38"/>
      <c r="E31" s="38"/>
      <c r="F31" s="38"/>
    </row>
  </sheetData>
  <mergeCells count="15">
    <mergeCell ref="A29:F29"/>
    <mergeCell ref="A27:F27"/>
    <mergeCell ref="A31:F31"/>
    <mergeCell ref="A13:B13"/>
    <mergeCell ref="A26:F26"/>
    <mergeCell ref="A30:F30"/>
    <mergeCell ref="A15:F15"/>
    <mergeCell ref="A25:F25"/>
    <mergeCell ref="A24:F24"/>
    <mergeCell ref="A2:F2"/>
    <mergeCell ref="D13:F13"/>
    <mergeCell ref="A1:F1"/>
    <mergeCell ref="A5:F5"/>
    <mergeCell ref="A3:B3"/>
    <mergeCell ref="E3:F3"/>
  </mergeCells>
  <phoneticPr fontId="26" type="noConversion"/>
  <conditionalFormatting sqref="E17:E22">
    <cfRule type="colorScale" priority="1">
      <colorScale>
        <cfvo type="num" val="1"/>
        <cfvo type="num" val="3"/>
        <cfvo type="num" val="5"/>
        <color rgb="FFFF4444"/>
        <color rgb="FFFFDD44"/>
        <color rgb="FF44BB44"/>
      </colorScale>
    </cfRule>
  </conditionalFormatting>
  <dataValidations count="2">
    <dataValidation type="list" allowBlank="1" sqref="B17 B18 B19 B20 B21 B22" xr:uid="{00000000-0002-0000-0100-000000000000}">
      <formula1>"语文,数学,英语,物理,化学,地理"</formula1>
    </dataValidation>
    <dataValidation type="list" allowBlank="1" sqref="F17 F18 F19 F20 F21 F22" xr:uid="{00000000-0002-0000-0100-000001000000}">
      <formula1>"是,否,周末"</formula1>
    </dataValidation>
  </dataValidations>
  <pageMargins left="0.70899999999999996" right="0.70899999999999996" top="0.80899999999999994" bottom="0.80899999999999994" header="0.3" footer="0.3"/>
  <pageSetup paperSize="9" fitToHeight="0" orientation="portrait"/>
  <headerFooter>
    <oddHeader>&amp;C&amp;"微软雅黑"&amp;9 2026高考复盘本 · 第1周 · 日2复盘</oddHeader>
    <oddFooter>&amp;L&amp;8 Toni Leigha&amp;R&amp;8 第 &amp;P 页 / 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31"/>
  <sheetViews>
    <sheetView workbookViewId="0">
      <pane ySplit="1" topLeftCell="A2" activePane="bottomLeft" state="frozen"/>
      <selection pane="bottomLeft" activeCell="E3" sqref="E3:F3"/>
    </sheetView>
  </sheetViews>
  <sheetFormatPr defaultRowHeight="13.5" x14ac:dyDescent="0.3"/>
  <cols>
    <col min="1" max="1" width="6" customWidth="1"/>
    <col min="2" max="2" width="24" customWidth="1"/>
    <col min="3" max="3" width="9" customWidth="1"/>
    <col min="4" max="4" width="18" customWidth="1"/>
    <col min="5" max="5" width="24" customWidth="1"/>
    <col min="6" max="6" width="13" customWidth="1"/>
  </cols>
  <sheetData>
    <row r="1" spans="1:6" ht="34.049999999999997" customHeight="1" x14ac:dyDescent="0.3">
      <c r="A1" s="40" t="s">
        <v>145</v>
      </c>
      <c r="B1" s="38"/>
      <c r="C1" s="38"/>
      <c r="D1" s="38"/>
      <c r="E1" s="38"/>
      <c r="F1" s="38"/>
    </row>
    <row r="2" spans="1:6" ht="20" customHeight="1" x14ac:dyDescent="0.3">
      <c r="A2" s="37" t="s">
        <v>0</v>
      </c>
      <c r="B2" s="38"/>
      <c r="C2" s="38"/>
      <c r="D2" s="38"/>
      <c r="E2" s="38"/>
      <c r="F2" s="38"/>
    </row>
    <row r="3" spans="1:6" ht="28.05" customHeight="1" x14ac:dyDescent="0.3">
      <c r="A3" s="45" t="s">
        <v>174</v>
      </c>
      <c r="B3" s="38"/>
      <c r="C3" s="1" t="s">
        <v>1</v>
      </c>
      <c r="D3" s="1" t="s">
        <v>2</v>
      </c>
      <c r="E3" s="46" t="s">
        <v>175</v>
      </c>
      <c r="F3" s="38"/>
    </row>
    <row r="4" spans="1:6" ht="5" customHeight="1" x14ac:dyDescent="0.3">
      <c r="A4" s="2"/>
      <c r="B4" s="2"/>
      <c r="C4" s="2"/>
      <c r="D4" s="2"/>
      <c r="E4" s="2"/>
      <c r="F4" s="2"/>
    </row>
    <row r="5" spans="1:6" ht="20" customHeight="1" x14ac:dyDescent="0.3">
      <c r="A5" s="37" t="s">
        <v>4</v>
      </c>
      <c r="B5" s="38"/>
      <c r="C5" s="38"/>
      <c r="D5" s="38"/>
      <c r="E5" s="38"/>
      <c r="F5" s="38"/>
    </row>
    <row r="6" spans="1:6" ht="36" customHeight="1" x14ac:dyDescent="0.3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</row>
    <row r="7" spans="1:6" ht="46.05" customHeight="1" x14ac:dyDescent="0.3">
      <c r="A7" s="4" t="s">
        <v>11</v>
      </c>
      <c r="B7" s="5" t="s">
        <v>146</v>
      </c>
      <c r="C7" s="5">
        <v>70</v>
      </c>
      <c r="D7" s="5" t="s">
        <v>147</v>
      </c>
      <c r="E7" s="5" t="s">
        <v>148</v>
      </c>
      <c r="F7" s="5"/>
    </row>
    <row r="8" spans="1:6" ht="46.05" customHeight="1" x14ac:dyDescent="0.3">
      <c r="A8" s="6" t="s">
        <v>12</v>
      </c>
      <c r="B8" s="7" t="s">
        <v>149</v>
      </c>
      <c r="C8" s="7">
        <v>65</v>
      </c>
      <c r="D8" s="7" t="s">
        <v>150</v>
      </c>
      <c r="E8" s="7" t="s">
        <v>151</v>
      </c>
      <c r="F8" s="7"/>
    </row>
    <row r="9" spans="1:6" ht="46.05" customHeight="1" x14ac:dyDescent="0.3">
      <c r="A9" s="8" t="s">
        <v>13</v>
      </c>
      <c r="B9" s="9" t="s">
        <v>152</v>
      </c>
      <c r="C9" s="9">
        <v>45</v>
      </c>
      <c r="D9" s="9" t="s">
        <v>153</v>
      </c>
      <c r="E9" s="9"/>
      <c r="F9" s="9"/>
    </row>
    <row r="10" spans="1:6" ht="46.05" customHeight="1" x14ac:dyDescent="0.3">
      <c r="A10" s="10" t="s">
        <v>14</v>
      </c>
      <c r="B10" s="11" t="s">
        <v>154</v>
      </c>
      <c r="C10" s="11">
        <v>60</v>
      </c>
      <c r="D10" s="11" t="s">
        <v>155</v>
      </c>
      <c r="E10" s="11" t="s">
        <v>156</v>
      </c>
      <c r="F10" s="11"/>
    </row>
    <row r="11" spans="1:6" ht="46.05" customHeight="1" x14ac:dyDescent="0.3">
      <c r="A11" s="12" t="s">
        <v>15</v>
      </c>
      <c r="B11" s="13" t="s">
        <v>157</v>
      </c>
      <c r="C11" s="13">
        <v>40</v>
      </c>
      <c r="D11" s="13" t="s">
        <v>158</v>
      </c>
      <c r="E11" s="13" t="s">
        <v>159</v>
      </c>
      <c r="F11" s="13"/>
    </row>
    <row r="12" spans="1:6" ht="46.05" customHeight="1" x14ac:dyDescent="0.3">
      <c r="A12" s="14" t="s">
        <v>16</v>
      </c>
      <c r="B12" s="15" t="s">
        <v>160</v>
      </c>
      <c r="C12" s="15">
        <v>60</v>
      </c>
      <c r="D12" s="15" t="s">
        <v>161</v>
      </c>
      <c r="E12" s="15" t="s">
        <v>162</v>
      </c>
      <c r="F12" s="15"/>
    </row>
    <row r="13" spans="1:6" ht="22.05" customHeight="1" x14ac:dyDescent="0.3">
      <c r="A13" s="43" t="s">
        <v>17</v>
      </c>
      <c r="B13" s="38"/>
      <c r="C13" s="17">
        <f>IFERROR(SUM(C7:C12),0)</f>
        <v>340</v>
      </c>
      <c r="D13" s="39" t="str">
        <f>IFERROR(TEXT(C13/60,"0.0")&amp;" h  ≈  "&amp;TEXT(C13/60,"0")&amp;" h","—")</f>
        <v>5.7 h  ≈  6 h</v>
      </c>
      <c r="E13" s="38"/>
      <c r="F13" s="38"/>
    </row>
    <row r="14" spans="1:6" ht="5" customHeight="1" x14ac:dyDescent="0.3">
      <c r="A14" s="2"/>
      <c r="B14" s="2"/>
      <c r="C14" s="2"/>
      <c r="D14" s="2"/>
      <c r="E14" s="2"/>
      <c r="F14" s="2"/>
    </row>
    <row r="15" spans="1:6" ht="20" customHeight="1" x14ac:dyDescent="0.3">
      <c r="A15" s="37" t="s">
        <v>18</v>
      </c>
      <c r="B15" s="38"/>
      <c r="C15" s="38"/>
      <c r="D15" s="38"/>
      <c r="E15" s="38"/>
      <c r="F15" s="38"/>
    </row>
    <row r="16" spans="1:6" ht="34.049999999999997" customHeight="1" x14ac:dyDescent="0.3">
      <c r="A16" s="16" t="s">
        <v>19</v>
      </c>
      <c r="B16" s="16" t="s">
        <v>5</v>
      </c>
      <c r="C16" s="16" t="s">
        <v>20</v>
      </c>
      <c r="D16" s="16" t="s">
        <v>21</v>
      </c>
      <c r="E16" s="16" t="s">
        <v>22</v>
      </c>
      <c r="F16" s="16" t="s">
        <v>23</v>
      </c>
    </row>
    <row r="17" spans="1:6" ht="38" customHeight="1" x14ac:dyDescent="0.3">
      <c r="A17" s="18">
        <v>1</v>
      </c>
      <c r="B17" s="19" t="s">
        <v>11</v>
      </c>
      <c r="C17" s="20" t="s">
        <v>163</v>
      </c>
      <c r="D17" s="20" t="s">
        <v>164</v>
      </c>
      <c r="E17" s="20">
        <v>3</v>
      </c>
      <c r="F17" s="19" t="s">
        <v>97</v>
      </c>
    </row>
    <row r="18" spans="1:6" ht="38" customHeight="1" x14ac:dyDescent="0.3">
      <c r="A18" s="21">
        <v>2</v>
      </c>
      <c r="B18" s="22" t="s">
        <v>92</v>
      </c>
      <c r="C18" s="23" t="s">
        <v>165</v>
      </c>
      <c r="D18" s="23" t="s">
        <v>166</v>
      </c>
      <c r="E18" s="23">
        <v>3</v>
      </c>
      <c r="F18" s="22" t="s">
        <v>97</v>
      </c>
    </row>
    <row r="19" spans="1:6" ht="38" customHeight="1" x14ac:dyDescent="0.3">
      <c r="A19" s="18">
        <v>3</v>
      </c>
      <c r="B19" s="19" t="s">
        <v>15</v>
      </c>
      <c r="C19" s="20" t="s">
        <v>138</v>
      </c>
      <c r="D19" s="20" t="s">
        <v>167</v>
      </c>
      <c r="E19" s="20">
        <v>2</v>
      </c>
      <c r="F19" s="19" t="s">
        <v>102</v>
      </c>
    </row>
    <row r="20" spans="1:6" ht="38" customHeight="1" x14ac:dyDescent="0.3">
      <c r="A20" s="21">
        <v>4</v>
      </c>
      <c r="B20" s="22"/>
      <c r="C20" s="23"/>
      <c r="D20" s="23"/>
      <c r="E20" s="23"/>
      <c r="F20" s="22"/>
    </row>
    <row r="21" spans="1:6" ht="38" customHeight="1" x14ac:dyDescent="0.3">
      <c r="A21" s="18">
        <v>5</v>
      </c>
      <c r="B21" s="19"/>
      <c r="C21" s="20"/>
      <c r="D21" s="20"/>
      <c r="E21" s="20"/>
      <c r="F21" s="19"/>
    </row>
    <row r="22" spans="1:6" ht="38" customHeight="1" x14ac:dyDescent="0.3">
      <c r="A22" s="21">
        <v>6</v>
      </c>
      <c r="B22" s="22"/>
      <c r="C22" s="23"/>
      <c r="D22" s="23"/>
      <c r="E22" s="23"/>
      <c r="F22" s="22"/>
    </row>
    <row r="23" spans="1:6" ht="5" customHeight="1" x14ac:dyDescent="0.3">
      <c r="A23" s="2"/>
      <c r="B23" s="2"/>
      <c r="C23" s="2"/>
      <c r="D23" s="2"/>
      <c r="E23" s="2"/>
      <c r="F23" s="2"/>
    </row>
    <row r="24" spans="1:6" ht="20" customHeight="1" x14ac:dyDescent="0.3">
      <c r="A24" s="37" t="s">
        <v>24</v>
      </c>
      <c r="B24" s="38"/>
      <c r="C24" s="38"/>
      <c r="D24" s="38"/>
      <c r="E24" s="38"/>
      <c r="F24" s="38"/>
    </row>
    <row r="25" spans="1:6" ht="30" customHeight="1" x14ac:dyDescent="0.3">
      <c r="A25" s="41" t="s">
        <v>168</v>
      </c>
      <c r="B25" s="38"/>
      <c r="C25" s="38"/>
      <c r="D25" s="38"/>
      <c r="E25" s="38"/>
      <c r="F25" s="38"/>
    </row>
    <row r="26" spans="1:6" ht="30" customHeight="1" x14ac:dyDescent="0.3">
      <c r="A26" s="41" t="s">
        <v>169</v>
      </c>
      <c r="B26" s="38"/>
      <c r="C26" s="38"/>
      <c r="D26" s="38"/>
      <c r="E26" s="38"/>
      <c r="F26" s="38"/>
    </row>
    <row r="27" spans="1:6" ht="30" customHeight="1" x14ac:dyDescent="0.3">
      <c r="A27" s="41" t="s">
        <v>170</v>
      </c>
      <c r="B27" s="38"/>
      <c r="C27" s="38"/>
      <c r="D27" s="38"/>
      <c r="E27" s="38"/>
      <c r="F27" s="38"/>
    </row>
    <row r="28" spans="1:6" ht="5" customHeight="1" x14ac:dyDescent="0.3">
      <c r="A28" s="2"/>
      <c r="B28" s="2"/>
      <c r="C28" s="2"/>
      <c r="D28" s="2"/>
      <c r="E28" s="2"/>
      <c r="F28" s="2"/>
    </row>
    <row r="29" spans="1:6" ht="20" customHeight="1" x14ac:dyDescent="0.3">
      <c r="A29" s="37" t="s">
        <v>26</v>
      </c>
      <c r="B29" s="38"/>
      <c r="C29" s="38"/>
      <c r="D29" s="38"/>
      <c r="E29" s="38"/>
      <c r="F29" s="38"/>
    </row>
    <row r="30" spans="1:6" ht="56" customHeight="1" x14ac:dyDescent="0.3">
      <c r="A30" s="44" t="s">
        <v>171</v>
      </c>
      <c r="B30" s="38"/>
      <c r="C30" s="38"/>
      <c r="D30" s="38"/>
      <c r="E30" s="38"/>
      <c r="F30" s="38"/>
    </row>
    <row r="31" spans="1:6" ht="14" customHeight="1" x14ac:dyDescent="0.3">
      <c r="A31" s="42" t="s">
        <v>30</v>
      </c>
      <c r="B31" s="38"/>
      <c r="C31" s="38"/>
      <c r="D31" s="38"/>
      <c r="E31" s="38"/>
      <c r="F31" s="38"/>
    </row>
  </sheetData>
  <mergeCells count="15">
    <mergeCell ref="A29:F29"/>
    <mergeCell ref="A27:F27"/>
    <mergeCell ref="A31:F31"/>
    <mergeCell ref="A13:B13"/>
    <mergeCell ref="A26:F26"/>
    <mergeCell ref="A30:F30"/>
    <mergeCell ref="A15:F15"/>
    <mergeCell ref="A25:F25"/>
    <mergeCell ref="A24:F24"/>
    <mergeCell ref="A2:F2"/>
    <mergeCell ref="D13:F13"/>
    <mergeCell ref="A1:F1"/>
    <mergeCell ref="A5:F5"/>
    <mergeCell ref="A3:B3"/>
    <mergeCell ref="E3:F3"/>
  </mergeCells>
  <phoneticPr fontId="26" type="noConversion"/>
  <conditionalFormatting sqref="E17:E22">
    <cfRule type="colorScale" priority="1">
      <colorScale>
        <cfvo type="num" val="1"/>
        <cfvo type="num" val="3"/>
        <cfvo type="num" val="5"/>
        <color rgb="FFFF4444"/>
        <color rgb="FFFFDD44"/>
        <color rgb="FF44BB44"/>
      </colorScale>
    </cfRule>
  </conditionalFormatting>
  <dataValidations count="2">
    <dataValidation type="list" allowBlank="1" sqref="B17 B18 B19 B20 B21 B22" xr:uid="{00000000-0002-0000-0200-000000000000}">
      <formula1>"语文,数学,英语,物理,化学,地理"</formula1>
    </dataValidation>
    <dataValidation type="list" allowBlank="1" sqref="F17 F18 F19 F20 F21 F22" xr:uid="{00000000-0002-0000-0200-000001000000}">
      <formula1>"是,否,周末"</formula1>
    </dataValidation>
  </dataValidations>
  <pageMargins left="0.70899999999999996" right="0.70899999999999996" top="0.80899999999999994" bottom="0.80899999999999994" header="0.3" footer="0.3"/>
  <pageSetup paperSize="9" fitToHeight="0" orientation="portrait"/>
  <headerFooter>
    <oddHeader>&amp;C&amp;"微软雅黑"&amp;9 2026高考复盘本 · 第1周 · 日3复盘</oddHeader>
    <oddFooter>&amp;L&amp;8 Toni Leigha&amp;R&amp;8 第 &amp;P 页 / 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31"/>
  <sheetViews>
    <sheetView workbookViewId="0">
      <pane ySplit="1" topLeftCell="A2" activePane="bottomLeft" state="frozen"/>
      <selection pane="bottomLeft" activeCell="A30" sqref="A30:F30"/>
    </sheetView>
  </sheetViews>
  <sheetFormatPr defaultRowHeight="13.5" x14ac:dyDescent="0.3"/>
  <cols>
    <col min="1" max="1" width="6" customWidth="1"/>
    <col min="2" max="2" width="24" customWidth="1"/>
    <col min="3" max="3" width="9" customWidth="1"/>
    <col min="4" max="4" width="18" customWidth="1"/>
    <col min="5" max="5" width="24" customWidth="1"/>
    <col min="6" max="6" width="13" customWidth="1"/>
  </cols>
  <sheetData>
    <row r="1" spans="1:6" ht="34.049999999999997" customHeight="1" x14ac:dyDescent="0.3">
      <c r="A1" s="40" t="s">
        <v>31</v>
      </c>
      <c r="B1" s="38"/>
      <c r="C1" s="38"/>
      <c r="D1" s="38"/>
      <c r="E1" s="38"/>
      <c r="F1" s="38"/>
    </row>
    <row r="2" spans="1:6" ht="20" customHeight="1" x14ac:dyDescent="0.3">
      <c r="A2" s="37" t="s">
        <v>0</v>
      </c>
      <c r="B2" s="38"/>
      <c r="C2" s="38"/>
      <c r="D2" s="38"/>
      <c r="E2" s="38"/>
      <c r="F2" s="38"/>
    </row>
    <row r="3" spans="1:6" ht="28.05" customHeight="1" x14ac:dyDescent="0.3">
      <c r="A3" s="45" t="s">
        <v>176</v>
      </c>
      <c r="B3" s="38"/>
      <c r="C3" s="1" t="s">
        <v>1</v>
      </c>
      <c r="D3" s="1" t="s">
        <v>178</v>
      </c>
      <c r="E3" s="46" t="s">
        <v>177</v>
      </c>
      <c r="F3" s="38"/>
    </row>
    <row r="4" spans="1:6" ht="5" customHeight="1" x14ac:dyDescent="0.3">
      <c r="A4" s="2"/>
      <c r="B4" s="2"/>
      <c r="C4" s="2"/>
      <c r="D4" s="2"/>
      <c r="E4" s="2"/>
      <c r="F4" s="2"/>
    </row>
    <row r="5" spans="1:6" ht="20" customHeight="1" x14ac:dyDescent="0.3">
      <c r="A5" s="37" t="s">
        <v>4</v>
      </c>
      <c r="B5" s="38"/>
      <c r="C5" s="38"/>
      <c r="D5" s="38"/>
      <c r="E5" s="38"/>
      <c r="F5" s="38"/>
    </row>
    <row r="6" spans="1:6" ht="36" customHeight="1" x14ac:dyDescent="0.3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</row>
    <row r="7" spans="1:6" ht="46.05" customHeight="1" x14ac:dyDescent="0.3">
      <c r="A7" s="4" t="s">
        <v>11</v>
      </c>
      <c r="B7" s="5" t="s">
        <v>179</v>
      </c>
      <c r="C7" s="5">
        <v>70</v>
      </c>
      <c r="D7" s="5" t="s">
        <v>180</v>
      </c>
      <c r="E7" s="5" t="s">
        <v>181</v>
      </c>
      <c r="F7" s="5" t="s">
        <v>182</v>
      </c>
    </row>
    <row r="8" spans="1:6" ht="46.05" customHeight="1" x14ac:dyDescent="0.3">
      <c r="A8" s="6" t="s">
        <v>12</v>
      </c>
      <c r="B8" s="7" t="s">
        <v>183</v>
      </c>
      <c r="C8" s="7">
        <v>70</v>
      </c>
      <c r="D8" s="7" t="s">
        <v>184</v>
      </c>
      <c r="E8" s="7"/>
      <c r="F8" s="7" t="s">
        <v>185</v>
      </c>
    </row>
    <row r="9" spans="1:6" ht="46.05" customHeight="1" x14ac:dyDescent="0.3">
      <c r="A9" s="8" t="s">
        <v>13</v>
      </c>
      <c r="B9" s="9" t="s">
        <v>186</v>
      </c>
      <c r="C9" s="9">
        <v>50</v>
      </c>
      <c r="D9" s="9" t="s">
        <v>187</v>
      </c>
      <c r="E9" s="9" t="s">
        <v>188</v>
      </c>
      <c r="F9" s="9"/>
    </row>
    <row r="10" spans="1:6" ht="46.05" customHeight="1" x14ac:dyDescent="0.3">
      <c r="A10" s="10" t="s">
        <v>14</v>
      </c>
      <c r="B10" s="11" t="s">
        <v>195</v>
      </c>
      <c r="C10" s="11">
        <v>60</v>
      </c>
      <c r="D10" s="11"/>
      <c r="E10" s="11"/>
      <c r="F10" s="11"/>
    </row>
    <row r="11" spans="1:6" ht="46.05" customHeight="1" x14ac:dyDescent="0.3">
      <c r="A11" s="12" t="s">
        <v>15</v>
      </c>
      <c r="B11" s="13" t="s">
        <v>189</v>
      </c>
      <c r="C11" s="13">
        <v>45</v>
      </c>
      <c r="D11" s="13" t="s">
        <v>190</v>
      </c>
      <c r="E11" s="13" t="s">
        <v>191</v>
      </c>
      <c r="F11" s="13"/>
    </row>
    <row r="12" spans="1:6" ht="46.05" customHeight="1" x14ac:dyDescent="0.3">
      <c r="A12" s="14" t="s">
        <v>16</v>
      </c>
      <c r="B12" s="15" t="s">
        <v>192</v>
      </c>
      <c r="C12" s="15">
        <v>60</v>
      </c>
      <c r="D12" s="15" t="s">
        <v>193</v>
      </c>
      <c r="E12" s="15" t="s">
        <v>194</v>
      </c>
      <c r="F12" s="15"/>
    </row>
    <row r="13" spans="1:6" ht="22.05" customHeight="1" x14ac:dyDescent="0.3">
      <c r="A13" s="43" t="s">
        <v>17</v>
      </c>
      <c r="B13" s="38"/>
      <c r="C13" s="17">
        <f>IFERROR(SUM(C7:C12),0)</f>
        <v>355</v>
      </c>
      <c r="D13" s="39" t="str">
        <f>IFERROR(TEXT(C13/60,"0.0")&amp;" h  ≈  "&amp;TEXT(C13/60,"0")&amp;" h","—")</f>
        <v>5.9 h  ≈  6 h</v>
      </c>
      <c r="E13" s="38"/>
      <c r="F13" s="38"/>
    </row>
    <row r="14" spans="1:6" ht="5" customHeight="1" x14ac:dyDescent="0.3">
      <c r="A14" s="2"/>
      <c r="B14" s="2"/>
      <c r="C14" s="2"/>
      <c r="D14" s="2"/>
      <c r="E14" s="2"/>
      <c r="F14" s="2"/>
    </row>
    <row r="15" spans="1:6" ht="20" customHeight="1" x14ac:dyDescent="0.3">
      <c r="A15" s="37" t="s">
        <v>18</v>
      </c>
      <c r="B15" s="38"/>
      <c r="C15" s="38"/>
      <c r="D15" s="38"/>
      <c r="E15" s="38"/>
      <c r="F15" s="38"/>
    </row>
    <row r="16" spans="1:6" ht="34.049999999999997" customHeight="1" x14ac:dyDescent="0.3">
      <c r="A16" s="16" t="s">
        <v>19</v>
      </c>
      <c r="B16" s="16" t="s">
        <v>5</v>
      </c>
      <c r="C16" s="16" t="s">
        <v>20</v>
      </c>
      <c r="D16" s="16" t="s">
        <v>21</v>
      </c>
      <c r="E16" s="16" t="s">
        <v>22</v>
      </c>
      <c r="F16" s="16" t="s">
        <v>23</v>
      </c>
    </row>
    <row r="17" spans="1:6" ht="38" customHeight="1" x14ac:dyDescent="0.3">
      <c r="A17" s="18">
        <v>1</v>
      </c>
      <c r="B17" s="19" t="s">
        <v>196</v>
      </c>
      <c r="C17" s="20" t="s">
        <v>197</v>
      </c>
      <c r="D17" s="20" t="s">
        <v>198</v>
      </c>
      <c r="E17" s="20">
        <v>3</v>
      </c>
      <c r="F17" s="19" t="s">
        <v>97</v>
      </c>
    </row>
    <row r="18" spans="1:6" ht="38" customHeight="1" x14ac:dyDescent="0.3">
      <c r="A18" s="21">
        <v>2</v>
      </c>
      <c r="B18" s="22" t="s">
        <v>12</v>
      </c>
      <c r="C18" s="23" t="s">
        <v>199</v>
      </c>
      <c r="D18" s="23" t="s">
        <v>200</v>
      </c>
      <c r="E18" s="23">
        <v>2</v>
      </c>
      <c r="F18" s="22" t="s">
        <v>101</v>
      </c>
    </row>
    <row r="19" spans="1:6" ht="38" customHeight="1" x14ac:dyDescent="0.3">
      <c r="A19" s="18">
        <v>3</v>
      </c>
      <c r="B19" s="19" t="s">
        <v>14</v>
      </c>
      <c r="C19" s="20" t="s">
        <v>201</v>
      </c>
      <c r="D19" s="20" t="s">
        <v>202</v>
      </c>
      <c r="E19" s="20">
        <v>3</v>
      </c>
      <c r="F19" s="19" t="s">
        <v>203</v>
      </c>
    </row>
    <row r="20" spans="1:6" ht="38" customHeight="1" x14ac:dyDescent="0.3">
      <c r="A20" s="21">
        <v>4</v>
      </c>
      <c r="B20" s="22" t="s">
        <v>109</v>
      </c>
      <c r="C20" s="23" t="s">
        <v>204</v>
      </c>
      <c r="D20" s="23" t="s">
        <v>205</v>
      </c>
      <c r="E20" s="23">
        <v>3</v>
      </c>
      <c r="F20" s="22" t="s">
        <v>206</v>
      </c>
    </row>
    <row r="21" spans="1:6" ht="38" customHeight="1" x14ac:dyDescent="0.3">
      <c r="A21" s="18">
        <v>5</v>
      </c>
      <c r="B21" s="19"/>
      <c r="C21" s="20"/>
      <c r="D21" s="20"/>
      <c r="E21" s="20"/>
      <c r="F21" s="19"/>
    </row>
    <row r="22" spans="1:6" ht="38" customHeight="1" x14ac:dyDescent="0.3">
      <c r="A22" s="21">
        <v>6</v>
      </c>
      <c r="B22" s="22"/>
      <c r="C22" s="23"/>
      <c r="D22" s="23"/>
      <c r="E22" s="23"/>
      <c r="F22" s="22"/>
    </row>
    <row r="23" spans="1:6" ht="5" customHeight="1" x14ac:dyDescent="0.3">
      <c r="A23" s="2"/>
      <c r="B23" s="2"/>
      <c r="C23" s="2"/>
      <c r="D23" s="2"/>
      <c r="E23" s="2"/>
      <c r="F23" s="2"/>
    </row>
    <row r="24" spans="1:6" ht="20" customHeight="1" x14ac:dyDescent="0.3">
      <c r="A24" s="37" t="s">
        <v>24</v>
      </c>
      <c r="B24" s="38"/>
      <c r="C24" s="38"/>
      <c r="D24" s="38"/>
      <c r="E24" s="38"/>
      <c r="F24" s="38"/>
    </row>
    <row r="25" spans="1:6" ht="30" customHeight="1" x14ac:dyDescent="0.3">
      <c r="A25" s="41" t="s">
        <v>207</v>
      </c>
      <c r="B25" s="38"/>
      <c r="C25" s="38"/>
      <c r="D25" s="38"/>
      <c r="E25" s="38"/>
      <c r="F25" s="38"/>
    </row>
    <row r="26" spans="1:6" ht="30" customHeight="1" x14ac:dyDescent="0.3">
      <c r="A26" s="41" t="s">
        <v>208</v>
      </c>
      <c r="B26" s="38"/>
      <c r="C26" s="38"/>
      <c r="D26" s="38"/>
      <c r="E26" s="38"/>
      <c r="F26" s="38"/>
    </row>
    <row r="27" spans="1:6" ht="30" customHeight="1" x14ac:dyDescent="0.3">
      <c r="A27" s="41" t="s">
        <v>25</v>
      </c>
      <c r="B27" s="38"/>
      <c r="C27" s="38"/>
      <c r="D27" s="38"/>
      <c r="E27" s="38"/>
      <c r="F27" s="38"/>
    </row>
    <row r="28" spans="1:6" ht="5" customHeight="1" x14ac:dyDescent="0.3">
      <c r="A28" s="2"/>
      <c r="B28" s="2"/>
      <c r="C28" s="2"/>
      <c r="D28" s="2"/>
      <c r="E28" s="2"/>
      <c r="F28" s="2"/>
    </row>
    <row r="29" spans="1:6" ht="20" customHeight="1" x14ac:dyDescent="0.3">
      <c r="A29" s="37" t="s">
        <v>26</v>
      </c>
      <c r="B29" s="38"/>
      <c r="C29" s="38"/>
      <c r="D29" s="38"/>
      <c r="E29" s="38"/>
      <c r="F29" s="38"/>
    </row>
    <row r="30" spans="1:6" ht="56" customHeight="1" x14ac:dyDescent="0.3">
      <c r="A30" s="44" t="s">
        <v>209</v>
      </c>
      <c r="B30" s="38"/>
      <c r="C30" s="38"/>
      <c r="D30" s="38"/>
      <c r="E30" s="38"/>
      <c r="F30" s="38"/>
    </row>
    <row r="31" spans="1:6" ht="14" customHeight="1" x14ac:dyDescent="0.3">
      <c r="A31" s="42" t="s">
        <v>32</v>
      </c>
      <c r="B31" s="38"/>
      <c r="C31" s="38"/>
      <c r="D31" s="38"/>
      <c r="E31" s="38"/>
      <c r="F31" s="38"/>
    </row>
  </sheetData>
  <mergeCells count="15">
    <mergeCell ref="A29:F29"/>
    <mergeCell ref="A27:F27"/>
    <mergeCell ref="A31:F31"/>
    <mergeCell ref="A13:B13"/>
    <mergeCell ref="A26:F26"/>
    <mergeCell ref="A30:F30"/>
    <mergeCell ref="A15:F15"/>
    <mergeCell ref="A25:F25"/>
    <mergeCell ref="A24:F24"/>
    <mergeCell ref="A2:F2"/>
    <mergeCell ref="D13:F13"/>
    <mergeCell ref="A1:F1"/>
    <mergeCell ref="A5:F5"/>
    <mergeCell ref="A3:B3"/>
    <mergeCell ref="E3:F3"/>
  </mergeCells>
  <phoneticPr fontId="26" type="noConversion"/>
  <conditionalFormatting sqref="E17:E22">
    <cfRule type="colorScale" priority="1">
      <colorScale>
        <cfvo type="num" val="1"/>
        <cfvo type="num" val="3"/>
        <cfvo type="num" val="5"/>
        <color rgb="FFFF4444"/>
        <color rgb="FFFFDD44"/>
        <color rgb="FF44BB44"/>
      </colorScale>
    </cfRule>
  </conditionalFormatting>
  <dataValidations count="2">
    <dataValidation type="list" allowBlank="1" sqref="B17 B18 B19 B20 B21 B22" xr:uid="{00000000-0002-0000-0300-000000000000}">
      <formula1>"语文,数学,英语,物理,化学,地理"</formula1>
    </dataValidation>
    <dataValidation type="list" allowBlank="1" sqref="F17 F18 F19 F20 F21 F22" xr:uid="{00000000-0002-0000-0300-000001000000}">
      <formula1>"是,否,周末"</formula1>
    </dataValidation>
  </dataValidations>
  <pageMargins left="0.70899999999999996" right="0.70899999999999996" top="0.80899999999999994" bottom="0.80899999999999994" header="0.3" footer="0.3"/>
  <pageSetup paperSize="9" fitToHeight="0" orientation="portrait"/>
  <headerFooter>
    <oddHeader>&amp;C&amp;"微软雅黑"&amp;9 2026高考复盘本 · 第1周 · 日4复盘</oddHeader>
    <oddFooter>&amp;L&amp;8 Toni Leigha&amp;R&amp;8 第 &amp;P 页 / 共 &amp;N 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31"/>
  <sheetViews>
    <sheetView workbookViewId="0">
      <pane ySplit="1" topLeftCell="A2" activePane="bottomLeft" state="frozen"/>
      <selection pane="bottomLeft" activeCell="A30" sqref="A30:F30"/>
    </sheetView>
  </sheetViews>
  <sheetFormatPr defaultRowHeight="13.5" x14ac:dyDescent="0.3"/>
  <cols>
    <col min="1" max="1" width="6" customWidth="1"/>
    <col min="2" max="2" width="24" customWidth="1"/>
    <col min="3" max="3" width="9" customWidth="1"/>
    <col min="4" max="4" width="18" customWidth="1"/>
    <col min="5" max="5" width="24" customWidth="1"/>
    <col min="6" max="6" width="13" customWidth="1"/>
  </cols>
  <sheetData>
    <row r="1" spans="1:6" ht="34.049999999999997" customHeight="1" x14ac:dyDescent="0.3">
      <c r="A1" s="40" t="s">
        <v>33</v>
      </c>
      <c r="B1" s="38"/>
      <c r="C1" s="38"/>
      <c r="D1" s="38"/>
      <c r="E1" s="38"/>
      <c r="F1" s="38"/>
    </row>
    <row r="2" spans="1:6" ht="20" customHeight="1" x14ac:dyDescent="0.3">
      <c r="A2" s="37" t="s">
        <v>0</v>
      </c>
      <c r="B2" s="38"/>
      <c r="C2" s="38"/>
      <c r="D2" s="38"/>
      <c r="E2" s="38"/>
      <c r="F2" s="38"/>
    </row>
    <row r="3" spans="1:6" ht="28.05" customHeight="1" x14ac:dyDescent="0.3">
      <c r="A3" s="45" t="s">
        <v>210</v>
      </c>
      <c r="B3" s="38"/>
      <c r="C3" s="1" t="s">
        <v>1</v>
      </c>
      <c r="D3" s="1" t="s">
        <v>212</v>
      </c>
      <c r="E3" s="46" t="s">
        <v>211</v>
      </c>
      <c r="F3" s="38"/>
    </row>
    <row r="4" spans="1:6" ht="5" customHeight="1" x14ac:dyDescent="0.3">
      <c r="A4" s="2"/>
      <c r="B4" s="2"/>
      <c r="C4" s="2"/>
      <c r="D4" s="2"/>
      <c r="E4" s="2"/>
      <c r="F4" s="2"/>
    </row>
    <row r="5" spans="1:6" ht="20" customHeight="1" x14ac:dyDescent="0.3">
      <c r="A5" s="37" t="s">
        <v>4</v>
      </c>
      <c r="B5" s="38"/>
      <c r="C5" s="38"/>
      <c r="D5" s="38"/>
      <c r="E5" s="38"/>
      <c r="F5" s="38"/>
    </row>
    <row r="6" spans="1:6" ht="36" customHeight="1" x14ac:dyDescent="0.3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</row>
    <row r="7" spans="1:6" ht="46.05" customHeight="1" x14ac:dyDescent="0.3">
      <c r="A7" s="4" t="s">
        <v>11</v>
      </c>
      <c r="B7" s="5" t="s">
        <v>213</v>
      </c>
      <c r="C7" s="5">
        <v>75</v>
      </c>
      <c r="D7" s="5" t="s">
        <v>214</v>
      </c>
      <c r="E7" s="5" t="s">
        <v>215</v>
      </c>
      <c r="F7" s="5"/>
    </row>
    <row r="8" spans="1:6" ht="46.05" customHeight="1" x14ac:dyDescent="0.3">
      <c r="A8" s="6" t="s">
        <v>12</v>
      </c>
      <c r="B8" s="7" t="s">
        <v>216</v>
      </c>
      <c r="C8" s="7">
        <v>75</v>
      </c>
      <c r="D8" s="7" t="s">
        <v>217</v>
      </c>
      <c r="E8" s="7" t="s">
        <v>218</v>
      </c>
      <c r="F8" s="7" t="s">
        <v>219</v>
      </c>
    </row>
    <row r="9" spans="1:6" ht="46.05" customHeight="1" x14ac:dyDescent="0.3">
      <c r="A9" s="8" t="s">
        <v>13</v>
      </c>
      <c r="B9" s="9" t="s">
        <v>220</v>
      </c>
      <c r="C9" s="9">
        <v>50</v>
      </c>
      <c r="D9" s="9" t="s">
        <v>221</v>
      </c>
      <c r="E9" s="9" t="s">
        <v>222</v>
      </c>
      <c r="F9" s="9" t="s">
        <v>223</v>
      </c>
    </row>
    <row r="10" spans="1:6" ht="46.05" customHeight="1" x14ac:dyDescent="0.3">
      <c r="A10" s="10" t="s">
        <v>14</v>
      </c>
      <c r="B10" s="11" t="s">
        <v>224</v>
      </c>
      <c r="C10" s="11">
        <v>60</v>
      </c>
      <c r="D10" s="11" t="s">
        <v>225</v>
      </c>
      <c r="E10" s="11" t="s">
        <v>226</v>
      </c>
      <c r="F10" s="11" t="s">
        <v>227</v>
      </c>
    </row>
    <row r="11" spans="1:6" ht="46.05" customHeight="1" x14ac:dyDescent="0.3">
      <c r="A11" s="12" t="s">
        <v>15</v>
      </c>
      <c r="B11" s="13" t="s">
        <v>228</v>
      </c>
      <c r="C11" s="13">
        <v>45</v>
      </c>
      <c r="D11" s="13" t="s">
        <v>229</v>
      </c>
      <c r="E11" s="13" t="s">
        <v>230</v>
      </c>
      <c r="F11" s="13" t="s">
        <v>231</v>
      </c>
    </row>
    <row r="12" spans="1:6" ht="46.05" customHeight="1" x14ac:dyDescent="0.3">
      <c r="A12" s="14" t="s">
        <v>16</v>
      </c>
      <c r="B12" s="15" t="s">
        <v>232</v>
      </c>
      <c r="C12" s="15">
        <v>60</v>
      </c>
      <c r="D12" s="15" t="s">
        <v>233</v>
      </c>
      <c r="E12" s="15"/>
      <c r="F12" s="15"/>
    </row>
    <row r="13" spans="1:6" ht="22.05" customHeight="1" x14ac:dyDescent="0.3">
      <c r="A13" s="43" t="s">
        <v>17</v>
      </c>
      <c r="B13" s="38"/>
      <c r="C13" s="17">
        <f>IFERROR(SUM(C7:C12),0)</f>
        <v>365</v>
      </c>
      <c r="D13" s="39" t="str">
        <f>IFERROR(TEXT(C13/60,"0.0")&amp;" h  ≈  "&amp;TEXT(C13/60,"0")&amp;" h","—")</f>
        <v>6.1 h  ≈  6 h</v>
      </c>
      <c r="E13" s="38"/>
      <c r="F13" s="38"/>
    </row>
    <row r="14" spans="1:6" ht="5" customHeight="1" x14ac:dyDescent="0.3">
      <c r="A14" s="2"/>
      <c r="B14" s="2"/>
      <c r="C14" s="2"/>
      <c r="D14" s="2"/>
      <c r="E14" s="2"/>
      <c r="F14" s="2"/>
    </row>
    <row r="15" spans="1:6" ht="20" customHeight="1" x14ac:dyDescent="0.3">
      <c r="A15" s="37" t="s">
        <v>18</v>
      </c>
      <c r="B15" s="38"/>
      <c r="C15" s="38"/>
      <c r="D15" s="38"/>
      <c r="E15" s="38"/>
      <c r="F15" s="38"/>
    </row>
    <row r="16" spans="1:6" ht="34.049999999999997" customHeight="1" x14ac:dyDescent="0.3">
      <c r="A16" s="16" t="s">
        <v>19</v>
      </c>
      <c r="B16" s="16" t="s">
        <v>5</v>
      </c>
      <c r="C16" s="16" t="s">
        <v>20</v>
      </c>
      <c r="D16" s="16" t="s">
        <v>21</v>
      </c>
      <c r="E16" s="16" t="s">
        <v>22</v>
      </c>
      <c r="F16" s="16" t="s">
        <v>23</v>
      </c>
    </row>
    <row r="17" spans="1:6" ht="38" customHeight="1" x14ac:dyDescent="0.3">
      <c r="A17" s="18">
        <v>1</v>
      </c>
      <c r="B17" s="19" t="s">
        <v>196</v>
      </c>
      <c r="C17" s="20" t="s">
        <v>234</v>
      </c>
      <c r="D17" s="20" t="s">
        <v>235</v>
      </c>
      <c r="E17" s="20">
        <v>3</v>
      </c>
      <c r="F17" s="19" t="s">
        <v>97</v>
      </c>
    </row>
    <row r="18" spans="1:6" ht="38" customHeight="1" x14ac:dyDescent="0.3">
      <c r="A18" s="21">
        <v>2</v>
      </c>
      <c r="B18" s="22" t="s">
        <v>12</v>
      </c>
      <c r="C18" s="23" t="s">
        <v>237</v>
      </c>
      <c r="D18" s="23" t="s">
        <v>240</v>
      </c>
      <c r="E18" s="23">
        <v>2</v>
      </c>
      <c r="F18" s="22" t="s">
        <v>102</v>
      </c>
    </row>
    <row r="19" spans="1:6" ht="38" customHeight="1" x14ac:dyDescent="0.3">
      <c r="A19" s="18">
        <v>3</v>
      </c>
      <c r="B19" s="19" t="s">
        <v>236</v>
      </c>
      <c r="C19" s="20" t="s">
        <v>238</v>
      </c>
      <c r="D19" s="20" t="s">
        <v>239</v>
      </c>
      <c r="E19" s="20">
        <v>3</v>
      </c>
      <c r="F19" s="19" t="s">
        <v>203</v>
      </c>
    </row>
    <row r="20" spans="1:6" ht="38" customHeight="1" x14ac:dyDescent="0.3">
      <c r="A20" s="21">
        <v>4</v>
      </c>
      <c r="B20" s="22" t="s">
        <v>92</v>
      </c>
      <c r="C20" s="23" t="s">
        <v>241</v>
      </c>
      <c r="D20" s="23" t="s">
        <v>242</v>
      </c>
      <c r="E20" s="23">
        <v>3</v>
      </c>
      <c r="F20" s="22" t="s">
        <v>97</v>
      </c>
    </row>
    <row r="21" spans="1:6" ht="38" customHeight="1" x14ac:dyDescent="0.3">
      <c r="A21" s="18">
        <v>5</v>
      </c>
      <c r="B21" s="19" t="s">
        <v>15</v>
      </c>
      <c r="C21" s="20" t="s">
        <v>243</v>
      </c>
      <c r="D21" s="20" t="s">
        <v>244</v>
      </c>
      <c r="E21" s="20">
        <v>1</v>
      </c>
      <c r="F21" s="19" t="s">
        <v>102</v>
      </c>
    </row>
    <row r="22" spans="1:6" ht="38" customHeight="1" x14ac:dyDescent="0.3">
      <c r="A22" s="21">
        <v>6</v>
      </c>
      <c r="B22" s="22"/>
      <c r="C22" s="23"/>
      <c r="D22" s="23"/>
      <c r="E22" s="23"/>
      <c r="F22" s="22"/>
    </row>
    <row r="23" spans="1:6" ht="5" customHeight="1" x14ac:dyDescent="0.3">
      <c r="A23" s="2"/>
      <c r="B23" s="2"/>
      <c r="C23" s="2"/>
      <c r="D23" s="2"/>
      <c r="E23" s="2"/>
      <c r="F23" s="2"/>
    </row>
    <row r="24" spans="1:6" ht="20" customHeight="1" x14ac:dyDescent="0.3">
      <c r="A24" s="37" t="s">
        <v>24</v>
      </c>
      <c r="B24" s="38"/>
      <c r="C24" s="38"/>
      <c r="D24" s="38"/>
      <c r="E24" s="38"/>
      <c r="F24" s="38"/>
    </row>
    <row r="25" spans="1:6" ht="30" customHeight="1" x14ac:dyDescent="0.3">
      <c r="A25" s="41" t="s">
        <v>245</v>
      </c>
      <c r="B25" s="38"/>
      <c r="C25" s="38"/>
      <c r="D25" s="38"/>
      <c r="E25" s="38"/>
      <c r="F25" s="38"/>
    </row>
    <row r="26" spans="1:6" ht="30" customHeight="1" x14ac:dyDescent="0.3">
      <c r="A26" s="41" t="s">
        <v>246</v>
      </c>
      <c r="B26" s="38"/>
      <c r="C26" s="38"/>
      <c r="D26" s="38"/>
      <c r="E26" s="38"/>
      <c r="F26" s="38"/>
    </row>
    <row r="27" spans="1:6" ht="30" customHeight="1" x14ac:dyDescent="0.3">
      <c r="A27" s="41" t="s">
        <v>247</v>
      </c>
      <c r="B27" s="38"/>
      <c r="C27" s="38"/>
      <c r="D27" s="38"/>
      <c r="E27" s="38"/>
      <c r="F27" s="38"/>
    </row>
    <row r="28" spans="1:6" ht="5" customHeight="1" x14ac:dyDescent="0.3">
      <c r="A28" s="2"/>
      <c r="B28" s="2"/>
      <c r="C28" s="2"/>
      <c r="D28" s="2"/>
      <c r="E28" s="2"/>
      <c r="F28" s="2"/>
    </row>
    <row r="29" spans="1:6" ht="20" customHeight="1" x14ac:dyDescent="0.3">
      <c r="A29" s="37" t="s">
        <v>26</v>
      </c>
      <c r="B29" s="38"/>
      <c r="C29" s="38"/>
      <c r="D29" s="38"/>
      <c r="E29" s="38"/>
      <c r="F29" s="38"/>
    </row>
    <row r="30" spans="1:6" ht="56" customHeight="1" x14ac:dyDescent="0.3">
      <c r="A30" s="44" t="s">
        <v>248</v>
      </c>
      <c r="B30" s="38"/>
      <c r="C30" s="38"/>
      <c r="D30" s="38"/>
      <c r="E30" s="38"/>
      <c r="F30" s="38"/>
    </row>
    <row r="31" spans="1:6" ht="14" customHeight="1" x14ac:dyDescent="0.3">
      <c r="A31" s="42" t="s">
        <v>34</v>
      </c>
      <c r="B31" s="38"/>
      <c r="C31" s="38"/>
      <c r="D31" s="38"/>
      <c r="E31" s="38"/>
      <c r="F31" s="38"/>
    </row>
  </sheetData>
  <mergeCells count="15">
    <mergeCell ref="A29:F29"/>
    <mergeCell ref="A27:F27"/>
    <mergeCell ref="A31:F31"/>
    <mergeCell ref="A13:B13"/>
    <mergeCell ref="A26:F26"/>
    <mergeCell ref="A30:F30"/>
    <mergeCell ref="A15:F15"/>
    <mergeCell ref="A25:F25"/>
    <mergeCell ref="A24:F24"/>
    <mergeCell ref="A2:F2"/>
    <mergeCell ref="D13:F13"/>
    <mergeCell ref="A1:F1"/>
    <mergeCell ref="A5:F5"/>
    <mergeCell ref="A3:B3"/>
    <mergeCell ref="E3:F3"/>
  </mergeCells>
  <phoneticPr fontId="26" type="noConversion"/>
  <conditionalFormatting sqref="E17:E22">
    <cfRule type="colorScale" priority="1">
      <colorScale>
        <cfvo type="num" val="1"/>
        <cfvo type="num" val="3"/>
        <cfvo type="num" val="5"/>
        <color rgb="FFFF4444"/>
        <color rgb="FFFFDD44"/>
        <color rgb="FF44BB44"/>
      </colorScale>
    </cfRule>
  </conditionalFormatting>
  <dataValidations count="2">
    <dataValidation type="list" allowBlank="1" sqref="B17:B22" xr:uid="{00000000-0002-0000-0400-000000000000}">
      <formula1>"语文,数学,英语,物理,化学,地理"</formula1>
    </dataValidation>
    <dataValidation type="list" allowBlank="1" sqref="F17:F22" xr:uid="{00000000-0002-0000-0400-000001000000}">
      <formula1>"是,否,周末"</formula1>
    </dataValidation>
  </dataValidations>
  <pageMargins left="0.70899999999999996" right="0.70899999999999996" top="0.80899999999999994" bottom="0.80899999999999994" header="0.3" footer="0.3"/>
  <pageSetup paperSize="9" fitToHeight="0" orientation="portrait"/>
  <headerFooter>
    <oddHeader>&amp;C&amp;"微软雅黑"&amp;9 2026高考复盘本 · 第1周 · 日5复盘</oddHeader>
    <oddFooter>&amp;L&amp;8 Toni Leigha&amp;R&amp;8 第 &amp;P 页 / 共 &amp;N 页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31"/>
  <sheetViews>
    <sheetView workbookViewId="0">
      <pane ySplit="1" topLeftCell="A11" activePane="bottomLeft" state="frozen"/>
      <selection pane="bottomLeft" activeCell="A30" sqref="A30:F30"/>
    </sheetView>
  </sheetViews>
  <sheetFormatPr defaultRowHeight="13.5" x14ac:dyDescent="0.3"/>
  <cols>
    <col min="1" max="1" width="6" customWidth="1"/>
    <col min="2" max="2" width="24" customWidth="1"/>
    <col min="3" max="3" width="9" customWidth="1"/>
    <col min="4" max="4" width="18" customWidth="1"/>
    <col min="5" max="5" width="24" customWidth="1"/>
    <col min="6" max="6" width="13" customWidth="1"/>
  </cols>
  <sheetData>
    <row r="1" spans="1:6" ht="34.049999999999997" customHeight="1" x14ac:dyDescent="0.3">
      <c r="A1" s="40" t="s">
        <v>35</v>
      </c>
      <c r="B1" s="38"/>
      <c r="C1" s="38"/>
      <c r="D1" s="38"/>
      <c r="E1" s="38"/>
      <c r="F1" s="38"/>
    </row>
    <row r="2" spans="1:6" ht="20" customHeight="1" x14ac:dyDescent="0.3">
      <c r="A2" s="37" t="s">
        <v>0</v>
      </c>
      <c r="B2" s="38"/>
      <c r="C2" s="38"/>
      <c r="D2" s="38"/>
      <c r="E2" s="38"/>
      <c r="F2" s="38"/>
    </row>
    <row r="3" spans="1:6" ht="28.05" customHeight="1" x14ac:dyDescent="0.3">
      <c r="A3" s="45" t="s">
        <v>249</v>
      </c>
      <c r="B3" s="38"/>
      <c r="C3" s="1" t="s">
        <v>1</v>
      </c>
      <c r="D3" s="1" t="s">
        <v>2</v>
      </c>
      <c r="E3" s="46" t="s">
        <v>177</v>
      </c>
      <c r="F3" s="38"/>
    </row>
    <row r="4" spans="1:6" ht="5" customHeight="1" x14ac:dyDescent="0.3">
      <c r="A4" s="2"/>
      <c r="B4" s="2"/>
      <c r="C4" s="2"/>
      <c r="D4" s="2"/>
      <c r="E4" s="2"/>
      <c r="F4" s="2"/>
    </row>
    <row r="5" spans="1:6" ht="20" customHeight="1" x14ac:dyDescent="0.3">
      <c r="A5" s="37" t="s">
        <v>4</v>
      </c>
      <c r="B5" s="38"/>
      <c r="C5" s="38"/>
      <c r="D5" s="38"/>
      <c r="E5" s="38"/>
      <c r="F5" s="38"/>
    </row>
    <row r="6" spans="1:6" ht="36" customHeight="1" x14ac:dyDescent="0.3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</row>
    <row r="7" spans="1:6" ht="46.05" customHeight="1" x14ac:dyDescent="0.3">
      <c r="A7" s="4" t="s">
        <v>11</v>
      </c>
      <c r="B7" s="5" t="s">
        <v>250</v>
      </c>
      <c r="C7" s="5">
        <v>70</v>
      </c>
      <c r="D7" s="5" t="s">
        <v>251</v>
      </c>
      <c r="E7" s="5" t="s">
        <v>252</v>
      </c>
      <c r="F7" s="5"/>
    </row>
    <row r="8" spans="1:6" ht="46.05" customHeight="1" x14ac:dyDescent="0.3">
      <c r="A8" s="6" t="s">
        <v>12</v>
      </c>
      <c r="B8" s="7" t="s">
        <v>253</v>
      </c>
      <c r="C8" s="7">
        <v>70</v>
      </c>
      <c r="D8" s="7" t="s">
        <v>254</v>
      </c>
      <c r="E8" s="7" t="s">
        <v>254</v>
      </c>
      <c r="F8" s="7"/>
    </row>
    <row r="9" spans="1:6" ht="46.05" customHeight="1" x14ac:dyDescent="0.3">
      <c r="A9" s="8" t="s">
        <v>13</v>
      </c>
      <c r="B9" s="9" t="s">
        <v>255</v>
      </c>
      <c r="C9" s="9">
        <v>50</v>
      </c>
      <c r="D9" s="9" t="s">
        <v>256</v>
      </c>
      <c r="E9" s="9" t="s">
        <v>257</v>
      </c>
      <c r="F9" s="9" t="s">
        <v>258</v>
      </c>
    </row>
    <row r="10" spans="1:6" ht="46.05" customHeight="1" x14ac:dyDescent="0.3">
      <c r="A10" s="10" t="s">
        <v>14</v>
      </c>
      <c r="B10" s="11" t="s">
        <v>259</v>
      </c>
      <c r="C10" s="11">
        <v>60</v>
      </c>
      <c r="D10" s="11" t="s">
        <v>260</v>
      </c>
      <c r="E10" s="11"/>
      <c r="F10" s="11"/>
    </row>
    <row r="11" spans="1:6" ht="46.05" customHeight="1" x14ac:dyDescent="0.3">
      <c r="A11" s="12" t="s">
        <v>15</v>
      </c>
      <c r="B11" s="13" t="s">
        <v>261</v>
      </c>
      <c r="C11" s="13">
        <v>45</v>
      </c>
      <c r="D11" s="13" t="s">
        <v>262</v>
      </c>
      <c r="E11" s="13" t="s">
        <v>263</v>
      </c>
      <c r="F11" s="13"/>
    </row>
    <row r="12" spans="1:6" ht="46.05" customHeight="1" x14ac:dyDescent="0.3">
      <c r="A12" s="14" t="s">
        <v>16</v>
      </c>
      <c r="B12" s="15" t="s">
        <v>264</v>
      </c>
      <c r="C12" s="15">
        <v>60</v>
      </c>
      <c r="D12" s="15" t="s">
        <v>265</v>
      </c>
      <c r="E12" s="15" t="s">
        <v>266</v>
      </c>
      <c r="F12" s="15"/>
    </row>
    <row r="13" spans="1:6" ht="22.05" customHeight="1" x14ac:dyDescent="0.3">
      <c r="A13" s="43" t="s">
        <v>17</v>
      </c>
      <c r="B13" s="38"/>
      <c r="C13" s="17">
        <f>IFERROR(SUM(C7:C12),0)</f>
        <v>355</v>
      </c>
      <c r="D13" s="39" t="str">
        <f>IFERROR(TEXT(C13/60,"0.0")&amp;" h  ≈  "&amp;TEXT(C13/60,"0")&amp;" h","—")</f>
        <v>5.9 h  ≈  6 h</v>
      </c>
      <c r="E13" s="38"/>
      <c r="F13" s="38"/>
    </row>
    <row r="14" spans="1:6" ht="5" customHeight="1" x14ac:dyDescent="0.3">
      <c r="A14" s="2"/>
      <c r="B14" s="2"/>
      <c r="C14" s="2"/>
      <c r="D14" s="2"/>
      <c r="E14" s="2"/>
      <c r="F14" s="2"/>
    </row>
    <row r="15" spans="1:6" ht="20" customHeight="1" x14ac:dyDescent="0.3">
      <c r="A15" s="37" t="s">
        <v>18</v>
      </c>
      <c r="B15" s="38"/>
      <c r="C15" s="38"/>
      <c r="D15" s="38"/>
      <c r="E15" s="38"/>
      <c r="F15" s="38"/>
    </row>
    <row r="16" spans="1:6" ht="34.049999999999997" customHeight="1" x14ac:dyDescent="0.3">
      <c r="A16" s="16" t="s">
        <v>19</v>
      </c>
      <c r="B16" s="16" t="s">
        <v>5</v>
      </c>
      <c r="C16" s="16" t="s">
        <v>20</v>
      </c>
      <c r="D16" s="16" t="s">
        <v>21</v>
      </c>
      <c r="E16" s="16" t="s">
        <v>22</v>
      </c>
      <c r="F16" s="16" t="s">
        <v>23</v>
      </c>
    </row>
    <row r="17" spans="1:6" ht="38" customHeight="1" x14ac:dyDescent="0.3">
      <c r="A17" s="18">
        <v>1</v>
      </c>
      <c r="B17" s="19" t="s">
        <v>11</v>
      </c>
      <c r="C17" s="20" t="s">
        <v>267</v>
      </c>
      <c r="D17" s="20" t="s">
        <v>268</v>
      </c>
      <c r="E17" s="20">
        <v>3</v>
      </c>
      <c r="F17" s="19" t="s">
        <v>269</v>
      </c>
    </row>
    <row r="18" spans="1:6" ht="38" customHeight="1" x14ac:dyDescent="0.3">
      <c r="A18" s="21">
        <v>2</v>
      </c>
      <c r="B18" s="22" t="s">
        <v>12</v>
      </c>
      <c r="C18" s="23" t="s">
        <v>270</v>
      </c>
      <c r="D18" s="23" t="s">
        <v>271</v>
      </c>
      <c r="E18" s="23">
        <v>2</v>
      </c>
      <c r="F18" s="22" t="s">
        <v>102</v>
      </c>
    </row>
    <row r="19" spans="1:6" ht="38" customHeight="1" x14ac:dyDescent="0.3">
      <c r="A19" s="18">
        <v>3</v>
      </c>
      <c r="B19" s="19" t="s">
        <v>272</v>
      </c>
      <c r="C19" s="20" t="s">
        <v>273</v>
      </c>
      <c r="D19" s="20" t="s">
        <v>274</v>
      </c>
      <c r="E19" s="20">
        <v>3</v>
      </c>
      <c r="F19" s="19" t="s">
        <v>97</v>
      </c>
    </row>
    <row r="20" spans="1:6" ht="38" customHeight="1" x14ac:dyDescent="0.3">
      <c r="A20" s="21">
        <v>4</v>
      </c>
      <c r="B20" s="22"/>
      <c r="C20" s="23"/>
      <c r="D20" s="23"/>
      <c r="E20" s="23"/>
      <c r="F20" s="22"/>
    </row>
    <row r="21" spans="1:6" ht="38" customHeight="1" x14ac:dyDescent="0.3">
      <c r="A21" s="18">
        <v>5</v>
      </c>
      <c r="B21" s="19"/>
      <c r="C21" s="20"/>
      <c r="D21" s="20"/>
      <c r="E21" s="20"/>
      <c r="F21" s="19"/>
    </row>
    <row r="22" spans="1:6" ht="38" customHeight="1" x14ac:dyDescent="0.3">
      <c r="A22" s="21">
        <v>6</v>
      </c>
      <c r="B22" s="22"/>
      <c r="C22" s="23"/>
      <c r="D22" s="23"/>
      <c r="E22" s="23"/>
      <c r="F22" s="22"/>
    </row>
    <row r="23" spans="1:6" ht="5" customHeight="1" x14ac:dyDescent="0.3">
      <c r="A23" s="2"/>
      <c r="B23" s="2"/>
      <c r="C23" s="2"/>
      <c r="D23" s="2"/>
      <c r="E23" s="2"/>
      <c r="F23" s="2"/>
    </row>
    <row r="24" spans="1:6" ht="20" customHeight="1" x14ac:dyDescent="0.3">
      <c r="A24" s="37" t="s">
        <v>24</v>
      </c>
      <c r="B24" s="38"/>
      <c r="C24" s="38"/>
      <c r="D24" s="38"/>
      <c r="E24" s="38"/>
      <c r="F24" s="38"/>
    </row>
    <row r="25" spans="1:6" ht="30" customHeight="1" x14ac:dyDescent="0.3">
      <c r="A25" s="41" t="s">
        <v>275</v>
      </c>
      <c r="B25" s="38"/>
      <c r="C25" s="38"/>
      <c r="D25" s="38"/>
      <c r="E25" s="38"/>
      <c r="F25" s="38"/>
    </row>
    <row r="26" spans="1:6" ht="30" customHeight="1" x14ac:dyDescent="0.3">
      <c r="A26" s="41" t="s">
        <v>276</v>
      </c>
      <c r="B26" s="38"/>
      <c r="C26" s="38"/>
      <c r="D26" s="38"/>
      <c r="E26" s="38"/>
      <c r="F26" s="38"/>
    </row>
    <row r="27" spans="1:6" ht="30" customHeight="1" x14ac:dyDescent="0.3">
      <c r="A27" s="41" t="s">
        <v>277</v>
      </c>
      <c r="B27" s="38"/>
      <c r="C27" s="38"/>
      <c r="D27" s="38"/>
      <c r="E27" s="38"/>
      <c r="F27" s="38"/>
    </row>
    <row r="28" spans="1:6" ht="5" customHeight="1" x14ac:dyDescent="0.3">
      <c r="A28" s="2"/>
      <c r="B28" s="2"/>
      <c r="C28" s="2"/>
      <c r="D28" s="2"/>
      <c r="E28" s="2"/>
      <c r="F28" s="2"/>
    </row>
    <row r="29" spans="1:6" ht="20" customHeight="1" x14ac:dyDescent="0.3">
      <c r="A29" s="37" t="s">
        <v>26</v>
      </c>
      <c r="B29" s="38"/>
      <c r="C29" s="38"/>
      <c r="D29" s="38"/>
      <c r="E29" s="38"/>
      <c r="F29" s="38"/>
    </row>
    <row r="30" spans="1:6" ht="56" customHeight="1" x14ac:dyDescent="0.3">
      <c r="A30" s="44" t="s">
        <v>278</v>
      </c>
      <c r="B30" s="38"/>
      <c r="C30" s="38"/>
      <c r="D30" s="38"/>
      <c r="E30" s="38"/>
      <c r="F30" s="38"/>
    </row>
    <row r="31" spans="1:6" ht="14" customHeight="1" x14ac:dyDescent="0.3">
      <c r="A31" s="42" t="s">
        <v>36</v>
      </c>
      <c r="B31" s="38"/>
      <c r="C31" s="38"/>
      <c r="D31" s="38"/>
      <c r="E31" s="38"/>
      <c r="F31" s="38"/>
    </row>
  </sheetData>
  <mergeCells count="15">
    <mergeCell ref="A29:F29"/>
    <mergeCell ref="A27:F27"/>
    <mergeCell ref="A31:F31"/>
    <mergeCell ref="A13:B13"/>
    <mergeCell ref="A26:F26"/>
    <mergeCell ref="A30:F30"/>
    <mergeCell ref="A15:F15"/>
    <mergeCell ref="A25:F25"/>
    <mergeCell ref="A24:F24"/>
    <mergeCell ref="A2:F2"/>
    <mergeCell ref="D13:F13"/>
    <mergeCell ref="A1:F1"/>
    <mergeCell ref="A5:F5"/>
    <mergeCell ref="A3:B3"/>
    <mergeCell ref="E3:F3"/>
  </mergeCells>
  <phoneticPr fontId="26" type="noConversion"/>
  <conditionalFormatting sqref="E17:E22">
    <cfRule type="colorScale" priority="1">
      <colorScale>
        <cfvo type="num" val="1"/>
        <cfvo type="num" val="3"/>
        <cfvo type="num" val="5"/>
        <color rgb="FFFF4444"/>
        <color rgb="FFFFDD44"/>
        <color rgb="FF44BB44"/>
      </colorScale>
    </cfRule>
  </conditionalFormatting>
  <dataValidations count="2">
    <dataValidation type="list" allowBlank="1" sqref="B17 B18 B19 B20 B21 B22" xr:uid="{00000000-0002-0000-0500-000000000000}">
      <formula1>"语文,数学,英语,物理,化学,地理"</formula1>
    </dataValidation>
    <dataValidation type="list" allowBlank="1" sqref="F17 F18 F19 F20 F21 F22" xr:uid="{00000000-0002-0000-0500-000001000000}">
      <formula1>"是,否,周末"</formula1>
    </dataValidation>
  </dataValidations>
  <pageMargins left="0.70899999999999996" right="0.70899999999999996" top="0.80899999999999994" bottom="0.80899999999999994" header="0.3" footer="0.3"/>
  <pageSetup paperSize="9" fitToHeight="0" orientation="portrait"/>
  <headerFooter>
    <oddHeader>&amp;C&amp;"微软雅黑"&amp;9 2026高考复盘本 · 第1周 · 日6复盘</oddHeader>
    <oddFooter>&amp;L&amp;8 Toni Leigha&amp;R&amp;8 第 &amp;P 页 / 共 &amp;N 页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31"/>
  <sheetViews>
    <sheetView workbookViewId="0">
      <pane ySplit="1" topLeftCell="A14" activePane="bottomLeft" state="frozen"/>
      <selection pane="bottomLeft" activeCell="F19" sqref="F19"/>
    </sheetView>
  </sheetViews>
  <sheetFormatPr defaultRowHeight="13.5" x14ac:dyDescent="0.3"/>
  <cols>
    <col min="1" max="1" width="6" customWidth="1"/>
    <col min="2" max="2" width="24" customWidth="1"/>
    <col min="3" max="3" width="9" customWidth="1"/>
    <col min="4" max="4" width="18" customWidth="1"/>
    <col min="5" max="5" width="24" customWidth="1"/>
    <col min="6" max="6" width="13" customWidth="1"/>
  </cols>
  <sheetData>
    <row r="1" spans="1:6" ht="34.049999999999997" customHeight="1" x14ac:dyDescent="0.3">
      <c r="A1" s="40" t="s">
        <v>37</v>
      </c>
      <c r="B1" s="38"/>
      <c r="C1" s="38"/>
      <c r="D1" s="38"/>
      <c r="E1" s="38"/>
      <c r="F1" s="38"/>
    </row>
    <row r="2" spans="1:6" ht="20" customHeight="1" x14ac:dyDescent="0.3">
      <c r="A2" s="37" t="s">
        <v>0</v>
      </c>
      <c r="B2" s="38"/>
      <c r="C2" s="38"/>
      <c r="D2" s="38"/>
      <c r="E2" s="38"/>
      <c r="F2" s="38"/>
    </row>
    <row r="3" spans="1:6" ht="28.05" customHeight="1" x14ac:dyDescent="0.3">
      <c r="A3" s="45" t="s">
        <v>284</v>
      </c>
      <c r="B3" s="38"/>
      <c r="C3" s="1" t="s">
        <v>1</v>
      </c>
      <c r="D3" s="1" t="s">
        <v>2</v>
      </c>
      <c r="E3" s="46" t="s">
        <v>3</v>
      </c>
      <c r="F3" s="38"/>
    </row>
    <row r="4" spans="1:6" ht="5" customHeight="1" x14ac:dyDescent="0.3">
      <c r="A4" s="2"/>
      <c r="B4" s="2"/>
      <c r="C4" s="2"/>
      <c r="D4" s="2"/>
      <c r="E4" s="2"/>
      <c r="F4" s="2"/>
    </row>
    <row r="5" spans="1:6" ht="20" customHeight="1" x14ac:dyDescent="0.3">
      <c r="A5" s="37" t="s">
        <v>4</v>
      </c>
      <c r="B5" s="38"/>
      <c r="C5" s="38"/>
      <c r="D5" s="38"/>
      <c r="E5" s="38"/>
      <c r="F5" s="38"/>
    </row>
    <row r="6" spans="1:6" ht="36" customHeight="1" x14ac:dyDescent="0.3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</row>
    <row r="7" spans="1:6" ht="46.05" customHeight="1" x14ac:dyDescent="0.3">
      <c r="A7" s="4" t="s">
        <v>11</v>
      </c>
      <c r="B7" s="5" t="s">
        <v>279</v>
      </c>
      <c r="C7" s="5">
        <v>60</v>
      </c>
      <c r="D7" s="5" t="s">
        <v>285</v>
      </c>
      <c r="E7" s="5"/>
      <c r="F7" s="5"/>
    </row>
    <row r="8" spans="1:6" ht="46.05" customHeight="1" x14ac:dyDescent="0.3">
      <c r="A8" s="6" t="s">
        <v>12</v>
      </c>
      <c r="B8" s="7" t="s">
        <v>279</v>
      </c>
      <c r="C8" s="7">
        <v>40</v>
      </c>
      <c r="D8" s="7" t="s">
        <v>286</v>
      </c>
      <c r="E8" s="7" t="s">
        <v>287</v>
      </c>
      <c r="F8" s="7" t="s">
        <v>288</v>
      </c>
    </row>
    <row r="9" spans="1:6" ht="46.05" customHeight="1" x14ac:dyDescent="0.3">
      <c r="A9" s="8" t="s">
        <v>13</v>
      </c>
      <c r="B9" s="9" t="s">
        <v>289</v>
      </c>
      <c r="C9" s="9">
        <v>30</v>
      </c>
      <c r="D9" s="9" t="s">
        <v>290</v>
      </c>
      <c r="E9" s="9" t="s">
        <v>291</v>
      </c>
      <c r="F9" s="9"/>
    </row>
    <row r="10" spans="1:6" ht="46.05" customHeight="1" x14ac:dyDescent="0.3">
      <c r="A10" s="10" t="s">
        <v>14</v>
      </c>
      <c r="B10" s="11" t="s">
        <v>292</v>
      </c>
      <c r="C10" s="11">
        <v>60</v>
      </c>
      <c r="D10" s="11"/>
      <c r="E10" s="11" t="s">
        <v>293</v>
      </c>
      <c r="F10" s="11"/>
    </row>
    <row r="11" spans="1:6" ht="46.05" customHeight="1" x14ac:dyDescent="0.3">
      <c r="A11" s="12" t="s">
        <v>15</v>
      </c>
      <c r="B11" s="13" t="s">
        <v>279</v>
      </c>
      <c r="C11" s="13">
        <v>60</v>
      </c>
      <c r="D11" s="13" t="s">
        <v>296</v>
      </c>
      <c r="E11" s="13" t="s">
        <v>295</v>
      </c>
      <c r="F11" s="13" t="s">
        <v>294</v>
      </c>
    </row>
    <row r="12" spans="1:6" ht="46.05" customHeight="1" x14ac:dyDescent="0.3">
      <c r="A12" s="14" t="s">
        <v>16</v>
      </c>
      <c r="B12" s="15" t="s">
        <v>279</v>
      </c>
      <c r="C12" s="15">
        <v>50</v>
      </c>
      <c r="D12" s="15"/>
      <c r="E12" s="15" t="s">
        <v>297</v>
      </c>
      <c r="F12" s="15" t="s">
        <v>298</v>
      </c>
    </row>
    <row r="13" spans="1:6" ht="22.05" customHeight="1" x14ac:dyDescent="0.3">
      <c r="A13" s="43" t="s">
        <v>17</v>
      </c>
      <c r="B13" s="38"/>
      <c r="C13" s="17">
        <f>IFERROR(SUM(C7:C12),0)</f>
        <v>300</v>
      </c>
      <c r="D13" s="39" t="str">
        <f>IFERROR(TEXT(C13/60,"0.0")&amp;" h  ≈  "&amp;TEXT(C13/60,"0")&amp;" h","—")</f>
        <v>5.0 h  ≈  5 h</v>
      </c>
      <c r="E13" s="38"/>
      <c r="F13" s="38"/>
    </row>
    <row r="14" spans="1:6" ht="5" customHeight="1" x14ac:dyDescent="0.3">
      <c r="A14" s="2"/>
      <c r="B14" s="2"/>
      <c r="C14" s="2"/>
      <c r="D14" s="2"/>
      <c r="E14" s="2"/>
      <c r="F14" s="2"/>
    </row>
    <row r="15" spans="1:6" ht="20" customHeight="1" x14ac:dyDescent="0.3">
      <c r="A15" s="37" t="s">
        <v>18</v>
      </c>
      <c r="B15" s="38"/>
      <c r="C15" s="38"/>
      <c r="D15" s="38"/>
      <c r="E15" s="38"/>
      <c r="F15" s="38"/>
    </row>
    <row r="16" spans="1:6" ht="34.049999999999997" customHeight="1" x14ac:dyDescent="0.3">
      <c r="A16" s="16" t="s">
        <v>19</v>
      </c>
      <c r="B16" s="16" t="s">
        <v>5</v>
      </c>
      <c r="C16" s="16" t="s">
        <v>20</v>
      </c>
      <c r="D16" s="16" t="s">
        <v>21</v>
      </c>
      <c r="E16" s="16" t="s">
        <v>22</v>
      </c>
      <c r="F16" s="16" t="s">
        <v>23</v>
      </c>
    </row>
    <row r="17" spans="1:6" ht="38" customHeight="1" x14ac:dyDescent="0.3">
      <c r="A17" s="18">
        <v>1</v>
      </c>
      <c r="B17" s="19" t="s">
        <v>98</v>
      </c>
      <c r="C17" s="20" t="s">
        <v>299</v>
      </c>
      <c r="D17" s="20" t="s">
        <v>300</v>
      </c>
      <c r="E17" s="20">
        <v>2</v>
      </c>
      <c r="F17" s="19" t="s">
        <v>102</v>
      </c>
    </row>
    <row r="18" spans="1:6" ht="38" customHeight="1" x14ac:dyDescent="0.3">
      <c r="A18" s="21">
        <v>2</v>
      </c>
      <c r="B18" s="22" t="s">
        <v>92</v>
      </c>
      <c r="C18" s="23" t="s">
        <v>301</v>
      </c>
      <c r="D18" s="23" t="s">
        <v>302</v>
      </c>
      <c r="E18" s="23">
        <v>3</v>
      </c>
      <c r="F18" s="22" t="s">
        <v>303</v>
      </c>
    </row>
    <row r="19" spans="1:6" ht="38" customHeight="1" x14ac:dyDescent="0.3">
      <c r="A19" s="18">
        <v>3</v>
      </c>
      <c r="B19" s="19" t="s">
        <v>16</v>
      </c>
      <c r="C19" s="20" t="s">
        <v>304</v>
      </c>
      <c r="D19" s="20" t="s">
        <v>305</v>
      </c>
      <c r="E19" s="20">
        <v>4</v>
      </c>
      <c r="F19" s="19" t="s">
        <v>102</v>
      </c>
    </row>
    <row r="20" spans="1:6" ht="38" customHeight="1" x14ac:dyDescent="0.3">
      <c r="A20" s="21">
        <v>4</v>
      </c>
      <c r="B20" s="22"/>
      <c r="C20" s="23"/>
      <c r="D20" s="23"/>
      <c r="E20" s="23"/>
      <c r="F20" s="22"/>
    </row>
    <row r="21" spans="1:6" ht="38" customHeight="1" x14ac:dyDescent="0.3">
      <c r="A21" s="18">
        <v>5</v>
      </c>
      <c r="B21" s="19"/>
      <c r="C21" s="20"/>
      <c r="D21" s="20"/>
      <c r="E21" s="20"/>
      <c r="F21" s="19"/>
    </row>
    <row r="22" spans="1:6" ht="38" customHeight="1" x14ac:dyDescent="0.3">
      <c r="A22" s="21">
        <v>6</v>
      </c>
      <c r="B22" s="22"/>
      <c r="C22" s="23"/>
      <c r="D22" s="23"/>
      <c r="E22" s="23"/>
      <c r="F22" s="22"/>
    </row>
    <row r="23" spans="1:6" ht="5" customHeight="1" x14ac:dyDescent="0.3">
      <c r="A23" s="2"/>
      <c r="B23" s="2"/>
      <c r="C23" s="2"/>
      <c r="D23" s="2"/>
      <c r="E23" s="2"/>
      <c r="F23" s="2"/>
    </row>
    <row r="24" spans="1:6" ht="20" customHeight="1" x14ac:dyDescent="0.3">
      <c r="A24" s="37" t="s">
        <v>24</v>
      </c>
      <c r="B24" s="38"/>
      <c r="C24" s="38"/>
      <c r="D24" s="38"/>
      <c r="E24" s="38"/>
      <c r="F24" s="38"/>
    </row>
    <row r="25" spans="1:6" ht="30" customHeight="1" x14ac:dyDescent="0.3">
      <c r="A25" s="41" t="s">
        <v>280</v>
      </c>
      <c r="B25" s="38"/>
      <c r="C25" s="38"/>
      <c r="D25" s="38"/>
      <c r="E25" s="38"/>
      <c r="F25" s="38"/>
    </row>
    <row r="26" spans="1:6" ht="30" customHeight="1" x14ac:dyDescent="0.3">
      <c r="A26" s="41" t="s">
        <v>281</v>
      </c>
      <c r="B26" s="38"/>
      <c r="C26" s="38"/>
      <c r="D26" s="38"/>
      <c r="E26" s="38"/>
      <c r="F26" s="38"/>
    </row>
    <row r="27" spans="1:6" ht="30" customHeight="1" x14ac:dyDescent="0.3">
      <c r="A27" s="41" t="s">
        <v>282</v>
      </c>
      <c r="B27" s="38"/>
      <c r="C27" s="38"/>
      <c r="D27" s="38"/>
      <c r="E27" s="38"/>
      <c r="F27" s="38"/>
    </row>
    <row r="28" spans="1:6" ht="5" customHeight="1" x14ac:dyDescent="0.3">
      <c r="A28" s="2"/>
      <c r="B28" s="2"/>
      <c r="C28" s="2"/>
      <c r="D28" s="2"/>
      <c r="E28" s="2"/>
      <c r="F28" s="2"/>
    </row>
    <row r="29" spans="1:6" ht="20" customHeight="1" x14ac:dyDescent="0.3">
      <c r="A29" s="37" t="s">
        <v>26</v>
      </c>
      <c r="B29" s="38"/>
      <c r="C29" s="38"/>
      <c r="D29" s="38"/>
      <c r="E29" s="38"/>
      <c r="F29" s="38"/>
    </row>
    <row r="30" spans="1:6" ht="56" customHeight="1" x14ac:dyDescent="0.3">
      <c r="A30" s="44" t="s">
        <v>283</v>
      </c>
      <c r="B30" s="38"/>
      <c r="C30" s="38"/>
      <c r="D30" s="38"/>
      <c r="E30" s="38"/>
      <c r="F30" s="38"/>
    </row>
    <row r="31" spans="1:6" ht="14" customHeight="1" x14ac:dyDescent="0.3">
      <c r="A31" s="42" t="s">
        <v>38</v>
      </c>
      <c r="B31" s="38"/>
      <c r="C31" s="38"/>
      <c r="D31" s="38"/>
      <c r="E31" s="38"/>
      <c r="F31" s="38"/>
    </row>
  </sheetData>
  <mergeCells count="15">
    <mergeCell ref="A29:F29"/>
    <mergeCell ref="A27:F27"/>
    <mergeCell ref="A31:F31"/>
    <mergeCell ref="A13:B13"/>
    <mergeCell ref="A26:F26"/>
    <mergeCell ref="A30:F30"/>
    <mergeCell ref="A15:F15"/>
    <mergeCell ref="A25:F25"/>
    <mergeCell ref="A24:F24"/>
    <mergeCell ref="A2:F2"/>
    <mergeCell ref="D13:F13"/>
    <mergeCell ref="A1:F1"/>
    <mergeCell ref="A5:F5"/>
    <mergeCell ref="A3:B3"/>
    <mergeCell ref="E3:F3"/>
  </mergeCells>
  <phoneticPr fontId="26" type="noConversion"/>
  <conditionalFormatting sqref="E17:E22">
    <cfRule type="colorScale" priority="1">
      <colorScale>
        <cfvo type="num" val="1"/>
        <cfvo type="num" val="3"/>
        <cfvo type="num" val="5"/>
        <color rgb="FFFF4444"/>
        <color rgb="FFFFDD44"/>
        <color rgb="FF44BB44"/>
      </colorScale>
    </cfRule>
  </conditionalFormatting>
  <dataValidations count="2">
    <dataValidation type="list" allowBlank="1" sqref="B17 B18 B19 B20 B21 B22" xr:uid="{00000000-0002-0000-0600-000000000000}">
      <formula1>"语文,数学,英语,物理,化学,地理"</formula1>
    </dataValidation>
    <dataValidation type="list" allowBlank="1" sqref="F17 F18 F19 F20 F21 F22" xr:uid="{00000000-0002-0000-0600-000001000000}">
      <formula1>"是,否,周末"</formula1>
    </dataValidation>
  </dataValidations>
  <pageMargins left="0.70899999999999996" right="0.70899999999999996" top="0.80899999999999994" bottom="0.80899999999999994" header="0.3" footer="0.3"/>
  <pageSetup paperSize="9" fitToHeight="0" orientation="portrait"/>
  <headerFooter>
    <oddHeader>&amp;C&amp;"微软雅黑"&amp;9 2026高考复盘本 · 第1周 · 日7复盘</oddHeader>
    <oddFooter>&amp;L&amp;8 Toni Leigha&amp;R&amp;8 第 &amp;P 页 / 共 &amp;N 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33"/>
  <sheetViews>
    <sheetView zoomScale="52" zoomScaleNormal="52" workbookViewId="0">
      <pane ySplit="2" topLeftCell="A18" activePane="bottomLeft" state="frozen"/>
      <selection pane="bottomLeft" activeCell="F2" sqref="F2:G2"/>
    </sheetView>
  </sheetViews>
  <sheetFormatPr defaultRowHeight="13.5" x14ac:dyDescent="0.3"/>
  <cols>
    <col min="1" max="1" width="5" customWidth="1"/>
    <col min="2" max="2" width="8" customWidth="1"/>
    <col min="3" max="3" width="26" customWidth="1"/>
    <col min="4" max="4" width="9" customWidth="1"/>
    <col min="5" max="5" width="10" customWidth="1"/>
    <col min="6" max="6" width="26" customWidth="1"/>
    <col min="7" max="7" width="13" customWidth="1"/>
  </cols>
  <sheetData>
    <row r="1" spans="1:7" ht="36" customHeight="1" x14ac:dyDescent="0.3">
      <c r="A1" s="49" t="s">
        <v>39</v>
      </c>
      <c r="B1" s="38"/>
      <c r="C1" s="38"/>
      <c r="D1" s="38"/>
      <c r="E1" s="38"/>
      <c r="F1" s="38"/>
      <c r="G1" s="38"/>
    </row>
    <row r="2" spans="1:7" ht="24" customHeight="1" x14ac:dyDescent="0.3">
      <c r="A2" s="53" t="s">
        <v>337</v>
      </c>
      <c r="B2" s="38"/>
      <c r="C2" s="38"/>
      <c r="D2" s="48" t="s">
        <v>338</v>
      </c>
      <c r="E2" s="38"/>
      <c r="F2" s="48" t="s">
        <v>339</v>
      </c>
      <c r="G2" s="38"/>
    </row>
    <row r="3" spans="1:7" ht="5" customHeight="1" x14ac:dyDescent="0.3">
      <c r="A3" s="2"/>
      <c r="B3" s="2"/>
      <c r="C3" s="2"/>
      <c r="D3" s="2"/>
      <c r="E3" s="2"/>
      <c r="F3" s="2"/>
      <c r="G3" s="2"/>
    </row>
    <row r="4" spans="1:7" ht="20" customHeight="1" x14ac:dyDescent="0.3">
      <c r="A4" s="51" t="s">
        <v>41</v>
      </c>
      <c r="B4" s="38"/>
      <c r="C4" s="38"/>
      <c r="D4" s="38"/>
      <c r="E4" s="38"/>
      <c r="F4" s="38"/>
      <c r="G4" s="38"/>
    </row>
    <row r="5" spans="1:7" ht="38" customHeight="1" x14ac:dyDescent="0.3">
      <c r="A5" s="24" t="s">
        <v>19</v>
      </c>
      <c r="B5" s="24" t="s">
        <v>5</v>
      </c>
      <c r="C5" s="24" t="s">
        <v>20</v>
      </c>
      <c r="D5" s="24" t="s">
        <v>42</v>
      </c>
      <c r="E5" s="24" t="s">
        <v>43</v>
      </c>
      <c r="F5" s="24" t="s">
        <v>44</v>
      </c>
      <c r="G5" s="24" t="s">
        <v>45</v>
      </c>
    </row>
    <row r="6" spans="1:7" ht="42" customHeight="1" x14ac:dyDescent="0.3">
      <c r="A6" s="18">
        <v>1</v>
      </c>
      <c r="B6" s="19" t="s">
        <v>106</v>
      </c>
      <c r="C6" s="20" t="s">
        <v>306</v>
      </c>
      <c r="D6" s="25">
        <v>5</v>
      </c>
      <c r="E6" s="19">
        <v>1</v>
      </c>
      <c r="F6" s="20" t="s">
        <v>307</v>
      </c>
      <c r="G6" s="19" t="s">
        <v>308</v>
      </c>
    </row>
    <row r="7" spans="1:7" ht="42" customHeight="1" x14ac:dyDescent="0.3">
      <c r="A7" s="26">
        <v>2</v>
      </c>
      <c r="B7" s="27" t="s">
        <v>11</v>
      </c>
      <c r="C7" s="28" t="s">
        <v>309</v>
      </c>
      <c r="D7" s="29">
        <v>3</v>
      </c>
      <c r="E7" s="27">
        <v>2</v>
      </c>
      <c r="F7" s="28" t="s">
        <v>310</v>
      </c>
      <c r="G7" s="27" t="s">
        <v>311</v>
      </c>
    </row>
    <row r="8" spans="1:7" ht="42" customHeight="1" x14ac:dyDescent="0.3">
      <c r="A8" s="18">
        <v>3</v>
      </c>
      <c r="B8" s="19" t="s">
        <v>11</v>
      </c>
      <c r="C8" s="20" t="s">
        <v>312</v>
      </c>
      <c r="D8" s="25">
        <v>3</v>
      </c>
      <c r="E8" s="19">
        <v>3</v>
      </c>
      <c r="F8" s="20" t="s">
        <v>313</v>
      </c>
      <c r="G8" s="19"/>
    </row>
    <row r="9" spans="1:7" ht="42" customHeight="1" x14ac:dyDescent="0.3">
      <c r="A9" s="26">
        <v>4</v>
      </c>
      <c r="B9" s="27" t="s">
        <v>12</v>
      </c>
      <c r="C9" s="28" t="s">
        <v>314</v>
      </c>
      <c r="D9" s="29">
        <v>4</v>
      </c>
      <c r="E9" s="27">
        <v>2</v>
      </c>
      <c r="F9" s="28" t="s">
        <v>315</v>
      </c>
      <c r="G9" s="27" t="s">
        <v>311</v>
      </c>
    </row>
    <row r="10" spans="1:7" ht="42" customHeight="1" x14ac:dyDescent="0.3">
      <c r="A10" s="18">
        <v>5</v>
      </c>
      <c r="B10" s="19" t="s">
        <v>12</v>
      </c>
      <c r="C10" s="20" t="s">
        <v>316</v>
      </c>
      <c r="D10" s="25">
        <v>3</v>
      </c>
      <c r="E10" s="19">
        <v>2</v>
      </c>
      <c r="F10" s="20" t="s">
        <v>317</v>
      </c>
      <c r="G10" s="19" t="s">
        <v>311</v>
      </c>
    </row>
    <row r="11" spans="1:7" ht="42" customHeight="1" x14ac:dyDescent="0.3">
      <c r="A11" s="26">
        <v>6</v>
      </c>
      <c r="B11" s="27" t="s">
        <v>13</v>
      </c>
      <c r="C11" s="28" t="s">
        <v>318</v>
      </c>
      <c r="D11" s="29">
        <v>4</v>
      </c>
      <c r="E11" s="27">
        <v>3</v>
      </c>
      <c r="F11" s="28" t="s">
        <v>319</v>
      </c>
      <c r="G11" s="27" t="s">
        <v>311</v>
      </c>
    </row>
    <row r="12" spans="1:7" ht="42" customHeight="1" x14ac:dyDescent="0.3">
      <c r="A12" s="18">
        <v>7</v>
      </c>
      <c r="B12" s="19" t="s">
        <v>13</v>
      </c>
      <c r="C12" s="20" t="s">
        <v>318</v>
      </c>
      <c r="D12" s="25">
        <v>3</v>
      </c>
      <c r="E12" s="19">
        <v>3</v>
      </c>
      <c r="F12" s="20" t="s">
        <v>320</v>
      </c>
      <c r="G12" s="19"/>
    </row>
    <row r="13" spans="1:7" ht="42" customHeight="1" x14ac:dyDescent="0.3">
      <c r="A13" s="26">
        <v>8</v>
      </c>
      <c r="B13" s="27" t="s">
        <v>14</v>
      </c>
      <c r="C13" s="28" t="s">
        <v>321</v>
      </c>
      <c r="D13" s="29">
        <v>4</v>
      </c>
      <c r="E13" s="27">
        <v>2</v>
      </c>
      <c r="F13" s="28" t="s">
        <v>322</v>
      </c>
      <c r="G13" s="27" t="s">
        <v>311</v>
      </c>
    </row>
    <row r="14" spans="1:7" ht="42" customHeight="1" x14ac:dyDescent="0.3">
      <c r="A14" s="18">
        <v>9</v>
      </c>
      <c r="B14" s="19" t="s">
        <v>14</v>
      </c>
      <c r="C14" s="20" t="s">
        <v>324</v>
      </c>
      <c r="D14" s="25">
        <v>3</v>
      </c>
      <c r="E14" s="19">
        <v>3</v>
      </c>
      <c r="F14" s="20" t="s">
        <v>323</v>
      </c>
      <c r="G14" s="19"/>
    </row>
    <row r="15" spans="1:7" ht="42" customHeight="1" x14ac:dyDescent="0.3">
      <c r="A15" s="26">
        <v>10</v>
      </c>
      <c r="B15" s="27" t="s">
        <v>15</v>
      </c>
      <c r="C15" s="28" t="s">
        <v>325</v>
      </c>
      <c r="D15" s="29">
        <v>3</v>
      </c>
      <c r="E15" s="27">
        <v>3</v>
      </c>
      <c r="F15" s="28" t="s">
        <v>326</v>
      </c>
      <c r="G15" s="27"/>
    </row>
    <row r="16" spans="1:7" ht="42" customHeight="1" x14ac:dyDescent="0.3">
      <c r="A16" s="18">
        <v>11</v>
      </c>
      <c r="B16" s="19" t="s">
        <v>15</v>
      </c>
      <c r="C16" s="20" t="s">
        <v>327</v>
      </c>
      <c r="D16" s="25">
        <v>2</v>
      </c>
      <c r="E16" s="19">
        <v>3</v>
      </c>
      <c r="F16" s="20" t="s">
        <v>328</v>
      </c>
      <c r="G16" s="19"/>
    </row>
    <row r="17" spans="1:7" ht="42" customHeight="1" x14ac:dyDescent="0.3">
      <c r="A17" s="26">
        <v>12</v>
      </c>
      <c r="B17" s="27" t="s">
        <v>16</v>
      </c>
      <c r="C17" s="28" t="s">
        <v>329</v>
      </c>
      <c r="D17" s="29">
        <v>3</v>
      </c>
      <c r="E17" s="27">
        <v>3</v>
      </c>
      <c r="F17" s="28" t="s">
        <v>330</v>
      </c>
      <c r="G17" s="27"/>
    </row>
    <row r="18" spans="1:7" ht="42" customHeight="1" x14ac:dyDescent="0.3">
      <c r="A18" s="18">
        <v>13</v>
      </c>
      <c r="B18" s="19" t="s">
        <v>16</v>
      </c>
      <c r="C18" s="20" t="s">
        <v>331</v>
      </c>
      <c r="D18" s="25">
        <v>2</v>
      </c>
      <c r="E18" s="19">
        <v>4</v>
      </c>
      <c r="F18" s="20" t="s">
        <v>332</v>
      </c>
      <c r="G18" s="19"/>
    </row>
    <row r="19" spans="1:7" ht="42" customHeight="1" x14ac:dyDescent="0.3">
      <c r="A19" s="26">
        <v>14</v>
      </c>
      <c r="B19" s="27"/>
      <c r="C19" s="28"/>
      <c r="D19" s="29"/>
      <c r="E19" s="27"/>
      <c r="F19" s="28"/>
      <c r="G19" s="27"/>
    </row>
    <row r="20" spans="1:7" ht="42" customHeight="1" x14ac:dyDescent="0.3">
      <c r="A20" s="18">
        <v>15</v>
      </c>
      <c r="B20" s="19"/>
      <c r="C20" s="20"/>
      <c r="D20" s="25"/>
      <c r="E20" s="19"/>
      <c r="F20" s="20"/>
      <c r="G20" s="19"/>
    </row>
    <row r="21" spans="1:7" ht="42" customHeight="1" x14ac:dyDescent="0.3">
      <c r="A21" s="26">
        <v>16</v>
      </c>
      <c r="B21" s="27"/>
      <c r="C21" s="28"/>
      <c r="D21" s="29"/>
      <c r="E21" s="27"/>
      <c r="F21" s="28"/>
      <c r="G21" s="27"/>
    </row>
    <row r="22" spans="1:7" ht="42" customHeight="1" x14ac:dyDescent="0.3">
      <c r="A22" s="18">
        <v>17</v>
      </c>
      <c r="B22" s="19"/>
      <c r="C22" s="20"/>
      <c r="D22" s="25"/>
      <c r="E22" s="19"/>
      <c r="F22" s="20"/>
      <c r="G22" s="19"/>
    </row>
    <row r="23" spans="1:7" ht="42" customHeight="1" x14ac:dyDescent="0.3">
      <c r="A23" s="26">
        <v>18</v>
      </c>
      <c r="B23" s="27"/>
      <c r="C23" s="28"/>
      <c r="D23" s="29"/>
      <c r="E23" s="27"/>
      <c r="F23" s="28"/>
      <c r="G23" s="27"/>
    </row>
    <row r="24" spans="1:7" ht="24" customHeight="1" x14ac:dyDescent="0.3">
      <c r="A24" s="52" t="s">
        <v>46</v>
      </c>
      <c r="B24" s="38"/>
      <c r="C24" s="38"/>
      <c r="D24" s="30">
        <f>IFERROR(COUNTA(C6:C23),0)</f>
        <v>13</v>
      </c>
      <c r="E24" s="31">
        <f>IFERROR(SUM(D6:D23),0)</f>
        <v>42</v>
      </c>
      <c r="F24" s="50" t="s">
        <v>47</v>
      </c>
      <c r="G24" s="38"/>
    </row>
    <row r="25" spans="1:7" ht="6" customHeight="1" x14ac:dyDescent="0.3">
      <c r="A25" s="2"/>
      <c r="B25" s="2"/>
      <c r="C25" s="2"/>
      <c r="D25" s="2"/>
      <c r="E25" s="2"/>
      <c r="F25" s="2"/>
      <c r="G25" s="2"/>
    </row>
    <row r="26" spans="1:7" ht="20" customHeight="1" x14ac:dyDescent="0.3">
      <c r="A26" s="51" t="s">
        <v>48</v>
      </c>
      <c r="B26" s="38"/>
      <c r="C26" s="38"/>
      <c r="D26" s="38"/>
      <c r="E26" s="38"/>
      <c r="F26" s="38"/>
      <c r="G26" s="38"/>
    </row>
    <row r="27" spans="1:7" ht="60" customHeight="1" x14ac:dyDescent="0.3">
      <c r="A27" s="44" t="s">
        <v>333</v>
      </c>
      <c r="B27" s="38"/>
      <c r="C27" s="38"/>
      <c r="D27" s="38"/>
      <c r="E27" s="38"/>
      <c r="F27" s="38"/>
      <c r="G27" s="38"/>
    </row>
    <row r="28" spans="1:7" ht="6" customHeight="1" x14ac:dyDescent="0.3">
      <c r="A28" s="2"/>
      <c r="B28" s="2"/>
      <c r="C28" s="2"/>
      <c r="D28" s="2"/>
      <c r="E28" s="2"/>
      <c r="F28" s="2"/>
      <c r="G28" s="2"/>
    </row>
    <row r="29" spans="1:7" ht="20" customHeight="1" x14ac:dyDescent="0.3">
      <c r="A29" s="51" t="s">
        <v>49</v>
      </c>
      <c r="B29" s="38"/>
      <c r="C29" s="38"/>
      <c r="D29" s="38"/>
      <c r="E29" s="38"/>
      <c r="F29" s="38"/>
      <c r="G29" s="38"/>
    </row>
    <row r="30" spans="1:7" ht="34.049999999999997" customHeight="1" x14ac:dyDescent="0.3">
      <c r="A30" s="47" t="s">
        <v>334</v>
      </c>
      <c r="B30" s="38"/>
      <c r="C30" s="38"/>
      <c r="D30" s="38"/>
      <c r="E30" s="38"/>
      <c r="F30" s="38"/>
      <c r="G30" s="38"/>
    </row>
    <row r="31" spans="1:7" ht="34.049999999999997" customHeight="1" x14ac:dyDescent="0.3">
      <c r="A31" s="47" t="s">
        <v>335</v>
      </c>
      <c r="B31" s="38"/>
      <c r="C31" s="38"/>
      <c r="D31" s="38"/>
      <c r="E31" s="38"/>
      <c r="F31" s="38"/>
      <c r="G31" s="38"/>
    </row>
    <row r="32" spans="1:7" ht="34.049999999999997" customHeight="1" x14ac:dyDescent="0.3">
      <c r="A32" s="47" t="s">
        <v>336</v>
      </c>
      <c r="B32" s="38"/>
      <c r="C32" s="38"/>
      <c r="D32" s="38"/>
      <c r="E32" s="38"/>
      <c r="F32" s="38"/>
      <c r="G32" s="38"/>
    </row>
    <row r="33" spans="1:7" ht="14" customHeight="1" x14ac:dyDescent="0.3">
      <c r="A33" s="42" t="s">
        <v>50</v>
      </c>
      <c r="B33" s="38"/>
      <c r="C33" s="38"/>
      <c r="D33" s="38"/>
      <c r="E33" s="38"/>
      <c r="F33" s="38"/>
      <c r="G33" s="38"/>
    </row>
  </sheetData>
  <mergeCells count="14">
    <mergeCell ref="A33:G33"/>
    <mergeCell ref="A24:C24"/>
    <mergeCell ref="A2:C2"/>
    <mergeCell ref="A32:G32"/>
    <mergeCell ref="F2:G2"/>
    <mergeCell ref="A1:G1"/>
    <mergeCell ref="F24:G24"/>
    <mergeCell ref="D2:E2"/>
    <mergeCell ref="A27:G27"/>
    <mergeCell ref="A31:G31"/>
    <mergeCell ref="A4:G4"/>
    <mergeCell ref="A26:G26"/>
    <mergeCell ref="A30:G30"/>
    <mergeCell ref="A29:G29"/>
  </mergeCells>
  <phoneticPr fontId="26" type="noConversion"/>
  <conditionalFormatting sqref="E6:E23">
    <cfRule type="cellIs" dxfId="5" priority="1" operator="equal">
      <formula>"★★★"</formula>
    </cfRule>
    <cfRule type="cellIs" dxfId="4" priority="2" operator="equal">
      <formula>"★★"</formula>
    </cfRule>
    <cfRule type="cellIs" dxfId="3" priority="3" operator="equal">
      <formula>"★"</formula>
    </cfRule>
  </conditionalFormatting>
  <conditionalFormatting sqref="G6:G23">
    <cfRule type="cellIs" dxfId="2" priority="4" operator="equal">
      <formula>"已完成"</formula>
    </cfRule>
    <cfRule type="cellIs" dxfId="1" priority="5" operator="equal">
      <formula>"部分完成"</formula>
    </cfRule>
    <cfRule type="cellIs" dxfId="0" priority="6" operator="equal">
      <formula>"未处理"</formula>
    </cfRule>
  </conditionalFormatting>
  <dataValidations count="4">
    <dataValidation type="list" allowBlank="1" sqref="B6 B7 B8 B9 B10 B11 B12 B13 B14 B15 B16 B17 B18 B19 B20 B21 B22 B23" xr:uid="{00000000-0002-0000-0700-000000000000}">
      <formula1>"语文,数学,英语,物理,化学,地理"</formula1>
    </dataValidation>
    <dataValidation type="list" allowBlank="1" sqref="E6 E7 E8 E9 E10 E11 E12 E13 E14 E15 E16 E17 E18 E19 E20 E21 E22 E23" xr:uid="{00000000-0002-0000-0700-000001000000}">
      <formula1>"★★★,★★,★"</formula1>
    </dataValidation>
    <dataValidation type="list" allowBlank="1" sqref="G6 G7 G8 G9 G10 G11 G12 G13 G14 G15 G16 G17 G18 G19 G20 G21 G22 G23" xr:uid="{00000000-0002-0000-0700-000002000000}">
      <formula1>"未处理,已完成,部分完成"</formula1>
    </dataValidation>
    <dataValidation type="whole" allowBlank="1" sqref="D6 D7 D8 D9 D10 D11 D12 D13 D14 D15 D16 D17 D18 D19 D20 D21 D22 D23" xr:uid="{00000000-0002-0000-0700-000003000000}">
      <formula1>1</formula1>
      <formula2>7</formula2>
    </dataValidation>
  </dataValidations>
  <pageMargins left="0.70899999999999996" right="0.70899999999999996" top="0.80899999999999994" bottom="0.80899999999999994" header="0.3" footer="0.3"/>
  <pageSetup paperSize="9" fitToHeight="0" orientation="portrait"/>
  <headerFooter>
    <oddHeader>&amp;C&amp;"微软雅黑"&amp;9 2026高考复盘本 · 第1周 · 周复盘汇总</oddHeader>
    <oddFooter>&amp;L&amp;8 Toni Leigha&amp;R&amp;8 第 &amp;P 页 / 共 &amp;N 页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29"/>
  <sheetViews>
    <sheetView workbookViewId="0">
      <pane xSplit="1" ySplit="2" topLeftCell="B3" activePane="bottomRight" state="frozen"/>
      <selection pane="topRight"/>
      <selection pane="bottomLeft"/>
      <selection pane="bottomRight" activeCell="A26" sqref="A26:H26"/>
    </sheetView>
  </sheetViews>
  <sheetFormatPr defaultRowHeight="13.5" x14ac:dyDescent="0.3"/>
  <cols>
    <col min="1" max="1" width="2.19921875" customWidth="1"/>
    <col min="2" max="7" width="11.46484375" customWidth="1"/>
    <col min="8" max="8" width="2.19921875" customWidth="1"/>
  </cols>
  <sheetData>
    <row r="1" spans="1:8" ht="32" customHeight="1" x14ac:dyDescent="0.3">
      <c r="A1" s="62" t="s">
        <v>51</v>
      </c>
      <c r="B1" s="38"/>
      <c r="C1" s="38"/>
      <c r="D1" s="38"/>
      <c r="E1" s="38"/>
      <c r="F1" s="38"/>
      <c r="G1" s="38"/>
      <c r="H1" s="38"/>
    </row>
    <row r="2" spans="1:8" ht="20" customHeight="1" x14ac:dyDescent="0.3">
      <c r="A2" s="66" t="s">
        <v>340</v>
      </c>
      <c r="B2" s="38"/>
      <c r="C2" s="38"/>
      <c r="D2" s="38"/>
      <c r="E2" s="38"/>
      <c r="F2" s="60" t="s">
        <v>341</v>
      </c>
      <c r="G2" s="38"/>
      <c r="H2" s="38"/>
    </row>
    <row r="3" spans="1:8" ht="5" customHeight="1" x14ac:dyDescent="0.3">
      <c r="A3" s="32"/>
      <c r="B3" s="32"/>
      <c r="C3" s="32"/>
      <c r="D3" s="32"/>
      <c r="E3" s="32"/>
      <c r="F3" s="32"/>
      <c r="G3" s="32"/>
      <c r="H3" s="32"/>
    </row>
    <row r="4" spans="1:8" ht="5" customHeight="1" x14ac:dyDescent="0.3">
      <c r="A4" s="32"/>
      <c r="B4" s="67"/>
      <c r="C4" s="38"/>
      <c r="D4" s="38"/>
      <c r="E4" s="38"/>
      <c r="F4" s="38"/>
      <c r="G4" s="38"/>
      <c r="H4" s="32"/>
    </row>
    <row r="5" spans="1:8" ht="28.05" customHeight="1" x14ac:dyDescent="0.3">
      <c r="A5" s="32"/>
      <c r="B5" s="61" t="s">
        <v>342</v>
      </c>
      <c r="C5" s="38"/>
      <c r="D5" s="38"/>
      <c r="E5" s="38"/>
      <c r="F5" s="33" t="s">
        <v>53</v>
      </c>
      <c r="G5" s="34" t="s">
        <v>54</v>
      </c>
      <c r="H5" s="32"/>
    </row>
    <row r="6" spans="1:8" ht="17" customHeight="1" x14ac:dyDescent="0.3">
      <c r="A6" s="32"/>
      <c r="B6" s="57" t="s">
        <v>55</v>
      </c>
      <c r="C6" s="38"/>
      <c r="D6" s="38"/>
      <c r="E6" s="38"/>
      <c r="F6" s="38"/>
      <c r="G6" s="38"/>
      <c r="H6" s="32"/>
    </row>
    <row r="7" spans="1:8" ht="88.05" customHeight="1" x14ac:dyDescent="0.3">
      <c r="A7" s="32"/>
      <c r="B7" s="68" t="s">
        <v>343</v>
      </c>
      <c r="C7" s="38"/>
      <c r="D7" s="38"/>
      <c r="E7" s="38"/>
      <c r="F7" s="38"/>
      <c r="G7" s="38"/>
      <c r="H7" s="32"/>
    </row>
    <row r="8" spans="1:8" ht="17" customHeight="1" x14ac:dyDescent="0.3">
      <c r="A8" s="32"/>
      <c r="B8" s="57" t="s">
        <v>56</v>
      </c>
      <c r="C8" s="38"/>
      <c r="D8" s="38"/>
      <c r="E8" s="38"/>
      <c r="F8" s="38"/>
      <c r="G8" s="38"/>
      <c r="H8" s="32"/>
    </row>
    <row r="9" spans="1:8" ht="19.05" customHeight="1" x14ac:dyDescent="0.3">
      <c r="A9" s="32"/>
      <c r="B9" s="59" t="s">
        <v>57</v>
      </c>
      <c r="C9" s="38"/>
      <c r="D9" s="38"/>
      <c r="E9" s="59" t="s">
        <v>58</v>
      </c>
      <c r="F9" s="38"/>
      <c r="G9" s="38"/>
      <c r="H9" s="32"/>
    </row>
    <row r="10" spans="1:8" ht="26" customHeight="1" x14ac:dyDescent="0.3">
      <c r="A10" s="32"/>
      <c r="B10" s="54" t="s">
        <v>344</v>
      </c>
      <c r="C10" s="38"/>
      <c r="D10" s="38"/>
      <c r="E10" s="54" t="s">
        <v>345</v>
      </c>
      <c r="F10" s="38"/>
      <c r="G10" s="38"/>
      <c r="H10" s="32"/>
    </row>
    <row r="11" spans="1:8" ht="26" customHeight="1" x14ac:dyDescent="0.3">
      <c r="A11" s="32"/>
      <c r="B11" s="54" t="s">
        <v>346</v>
      </c>
      <c r="C11" s="38"/>
      <c r="D11" s="38"/>
      <c r="E11" s="54" t="s">
        <v>347</v>
      </c>
      <c r="F11" s="38"/>
      <c r="G11" s="38"/>
      <c r="H11" s="32"/>
    </row>
    <row r="12" spans="1:8" ht="26" customHeight="1" x14ac:dyDescent="0.3">
      <c r="A12" s="32"/>
      <c r="B12" s="54"/>
      <c r="C12" s="38"/>
      <c r="D12" s="38"/>
      <c r="E12" s="54"/>
      <c r="F12" s="38"/>
      <c r="G12" s="38"/>
      <c r="H12" s="32"/>
    </row>
    <row r="13" spans="1:8" ht="17" customHeight="1" x14ac:dyDescent="0.3">
      <c r="A13" s="32"/>
      <c r="B13" s="57" t="s">
        <v>59</v>
      </c>
      <c r="C13" s="38"/>
      <c r="D13" s="38"/>
      <c r="E13" s="57" t="s">
        <v>60</v>
      </c>
      <c r="F13" s="38"/>
      <c r="G13" s="38"/>
      <c r="H13" s="32"/>
    </row>
    <row r="14" spans="1:8" ht="21" customHeight="1" x14ac:dyDescent="0.3">
      <c r="A14" s="32"/>
      <c r="B14" s="56" t="s">
        <v>348</v>
      </c>
      <c r="C14" s="38"/>
      <c r="D14" s="38"/>
      <c r="E14" s="55" t="s">
        <v>352</v>
      </c>
      <c r="F14" s="38"/>
      <c r="G14" s="38"/>
      <c r="H14" s="32"/>
    </row>
    <row r="15" spans="1:8" ht="21" customHeight="1" x14ac:dyDescent="0.3">
      <c r="A15" s="32"/>
      <c r="B15" s="56" t="s">
        <v>349</v>
      </c>
      <c r="C15" s="38"/>
      <c r="D15" s="38"/>
      <c r="E15" s="38"/>
      <c r="F15" s="38"/>
      <c r="G15" s="38"/>
      <c r="H15" s="32"/>
    </row>
    <row r="16" spans="1:8" ht="21" customHeight="1" x14ac:dyDescent="0.3">
      <c r="A16" s="32"/>
      <c r="B16" s="56" t="s">
        <v>350</v>
      </c>
      <c r="C16" s="38"/>
      <c r="D16" s="38"/>
      <c r="E16" s="38"/>
      <c r="F16" s="38"/>
      <c r="G16" s="38"/>
      <c r="H16" s="32"/>
    </row>
    <row r="17" spans="1:8" ht="21" customHeight="1" x14ac:dyDescent="0.3">
      <c r="A17" s="32"/>
      <c r="B17" s="56" t="s">
        <v>351</v>
      </c>
      <c r="C17" s="38"/>
      <c r="D17" s="38"/>
      <c r="E17" s="38"/>
      <c r="F17" s="38"/>
      <c r="G17" s="38"/>
      <c r="H17" s="32"/>
    </row>
    <row r="18" spans="1:8" ht="21" customHeight="1" x14ac:dyDescent="0.3">
      <c r="A18" s="32"/>
      <c r="B18" s="56" t="s">
        <v>61</v>
      </c>
      <c r="C18" s="38"/>
      <c r="D18" s="38"/>
      <c r="E18" s="38"/>
      <c r="F18" s="38"/>
      <c r="G18" s="38"/>
      <c r="H18" s="32"/>
    </row>
    <row r="19" spans="1:8" ht="17" customHeight="1" x14ac:dyDescent="0.3">
      <c r="A19" s="32"/>
      <c r="B19" s="57" t="s">
        <v>62</v>
      </c>
      <c r="C19" s="38"/>
      <c r="D19" s="38"/>
      <c r="E19" s="38"/>
      <c r="F19" s="38"/>
      <c r="G19" s="38"/>
      <c r="H19" s="32"/>
    </row>
    <row r="20" spans="1:8" ht="34.049999999999997" customHeight="1" x14ac:dyDescent="0.3">
      <c r="A20" s="32"/>
      <c r="B20" s="65" t="s">
        <v>353</v>
      </c>
      <c r="C20" s="38"/>
      <c r="D20" s="38"/>
      <c r="E20" s="38"/>
      <c r="F20" s="38"/>
      <c r="G20" s="38"/>
      <c r="H20" s="32"/>
    </row>
    <row r="21" spans="1:8" ht="17" customHeight="1" x14ac:dyDescent="0.3">
      <c r="A21" s="32"/>
      <c r="B21" s="57" t="s">
        <v>63</v>
      </c>
      <c r="C21" s="38"/>
      <c r="D21" s="38"/>
      <c r="E21" s="38"/>
      <c r="F21" s="38"/>
      <c r="G21" s="38"/>
      <c r="H21" s="32"/>
    </row>
    <row r="22" spans="1:8" ht="26" customHeight="1" x14ac:dyDescent="0.3">
      <c r="A22" s="32"/>
      <c r="B22" s="69" t="s">
        <v>354</v>
      </c>
      <c r="C22" s="38"/>
      <c r="D22" s="38"/>
      <c r="E22" s="38"/>
      <c r="F22" s="38"/>
      <c r="G22" s="38"/>
      <c r="H22" s="32"/>
    </row>
    <row r="23" spans="1:8" ht="5" customHeight="1" x14ac:dyDescent="0.3">
      <c r="A23" s="32"/>
      <c r="B23" s="32"/>
      <c r="C23" s="32"/>
      <c r="D23" s="32"/>
      <c r="E23" s="32"/>
      <c r="F23" s="32"/>
      <c r="G23" s="32"/>
      <c r="H23" s="32"/>
    </row>
    <row r="24" spans="1:8" ht="20" customHeight="1" x14ac:dyDescent="0.3">
      <c r="A24" s="58" t="s">
        <v>65</v>
      </c>
      <c r="B24" s="38"/>
      <c r="C24" s="38"/>
      <c r="D24" s="38"/>
      <c r="E24" s="38"/>
      <c r="F24" s="38"/>
      <c r="G24" s="38"/>
      <c r="H24" s="38"/>
    </row>
    <row r="25" spans="1:8" ht="100.05" customHeight="1" x14ac:dyDescent="0.3">
      <c r="A25" s="63" t="s">
        <v>66</v>
      </c>
      <c r="B25" s="38"/>
      <c r="C25" s="38"/>
      <c r="D25" s="38"/>
      <c r="E25" s="38"/>
      <c r="F25" s="38"/>
      <c r="G25" s="38"/>
      <c r="H25" s="38"/>
    </row>
    <row r="26" spans="1:8" ht="100.05" customHeight="1" x14ac:dyDescent="0.3">
      <c r="A26" s="64"/>
      <c r="B26" s="38"/>
      <c r="C26" s="38"/>
      <c r="D26" s="38"/>
      <c r="E26" s="38"/>
      <c r="F26" s="38"/>
      <c r="G26" s="38"/>
      <c r="H26" s="38"/>
    </row>
    <row r="27" spans="1:8" ht="100.05" customHeight="1" x14ac:dyDescent="0.3">
      <c r="A27" s="64"/>
      <c r="B27" s="38"/>
      <c r="C27" s="38"/>
      <c r="D27" s="38"/>
      <c r="E27" s="38"/>
      <c r="F27" s="38"/>
      <c r="G27" s="38"/>
      <c r="H27" s="38"/>
    </row>
    <row r="28" spans="1:8" ht="100.05" customHeight="1" x14ac:dyDescent="0.3">
      <c r="A28" s="70"/>
      <c r="B28" s="38"/>
      <c r="C28" s="38"/>
      <c r="D28" s="38"/>
      <c r="E28" s="38"/>
      <c r="F28" s="38"/>
      <c r="G28" s="38"/>
      <c r="H28" s="38"/>
    </row>
    <row r="29" spans="1:8" ht="13.05" customHeight="1" x14ac:dyDescent="0.3">
      <c r="A29" s="42" t="s">
        <v>67</v>
      </c>
      <c r="B29" s="38"/>
      <c r="C29" s="38"/>
      <c r="D29" s="38"/>
      <c r="E29" s="38"/>
      <c r="F29" s="38"/>
      <c r="G29" s="38"/>
      <c r="H29" s="38"/>
    </row>
  </sheetData>
  <mergeCells count="34">
    <mergeCell ref="A29:H29"/>
    <mergeCell ref="B22:G22"/>
    <mergeCell ref="A28:H28"/>
    <mergeCell ref="B18:D18"/>
    <mergeCell ref="B12:D12"/>
    <mergeCell ref="B21:G21"/>
    <mergeCell ref="A25:H25"/>
    <mergeCell ref="B9:D9"/>
    <mergeCell ref="B15:D15"/>
    <mergeCell ref="A27:H27"/>
    <mergeCell ref="B6:G6"/>
    <mergeCell ref="B20:G20"/>
    <mergeCell ref="A26:H26"/>
    <mergeCell ref="E12:G12"/>
    <mergeCell ref="B7:G7"/>
    <mergeCell ref="B16:D16"/>
    <mergeCell ref="F2:H2"/>
    <mergeCell ref="B5:E5"/>
    <mergeCell ref="A1:H1"/>
    <mergeCell ref="B10:D10"/>
    <mergeCell ref="B19:G19"/>
    <mergeCell ref="E11:G11"/>
    <mergeCell ref="A2:E2"/>
    <mergeCell ref="B4:G4"/>
    <mergeCell ref="A24:H24"/>
    <mergeCell ref="B8:G8"/>
    <mergeCell ref="B17:D17"/>
    <mergeCell ref="B13:D13"/>
    <mergeCell ref="E9:G9"/>
    <mergeCell ref="B11:D11"/>
    <mergeCell ref="E10:G10"/>
    <mergeCell ref="E14:G18"/>
    <mergeCell ref="B14:D14"/>
    <mergeCell ref="E13:G13"/>
  </mergeCells>
  <phoneticPr fontId="26" type="noConversion"/>
  <dataValidations count="1">
    <dataValidation type="list" allowBlank="1" sqref="F5" xr:uid="{00000000-0002-0000-0800-000000000000}">
      <formula1>"语文,数学,英语,物理,化学,地理"</formula1>
    </dataValidation>
  </dataValidations>
  <pageMargins left="0.70899999999999996" right="0.70899999999999996" top="0.80899999999999994" bottom="0.80899999999999994" header="0.3" footer="0.3"/>
  <pageSetup paperSize="9" fitToHeight="0" orientation="portrait"/>
  <headerFooter>
    <oddHeader>&amp;C&amp;"微软雅黑"&amp;9 2026高考复盘本 · 第1周 · 深度整理卡片1</oddHeader>
    <oddFooter>&amp;L&amp;8 Toni Leigha&amp;R&amp;8 第 &amp;P 页 / 共 &amp;N 页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H29"/>
  <sheetViews>
    <sheetView tabSelected="1" zoomScale="75" zoomScaleNormal="75" workbookViewId="0">
      <pane xSplit="1" ySplit="2" topLeftCell="B18" activePane="bottomRight" state="frozen"/>
      <selection pane="topRight"/>
      <selection pane="bottomLeft"/>
      <selection pane="bottomRight" activeCell="A25" sqref="A25:H25"/>
    </sheetView>
  </sheetViews>
  <sheetFormatPr defaultRowHeight="13.5" x14ac:dyDescent="0.3"/>
  <cols>
    <col min="1" max="1" width="2.19921875" customWidth="1"/>
    <col min="2" max="7" width="11.46484375" customWidth="1"/>
    <col min="8" max="8" width="2.19921875" customWidth="1"/>
  </cols>
  <sheetData>
    <row r="1" spans="1:8" ht="32" customHeight="1" x14ac:dyDescent="0.3">
      <c r="A1" s="62" t="s">
        <v>68</v>
      </c>
      <c r="B1" s="38"/>
      <c r="C1" s="38"/>
      <c r="D1" s="38"/>
      <c r="E1" s="38"/>
      <c r="F1" s="38"/>
      <c r="G1" s="38"/>
      <c r="H1" s="38"/>
    </row>
    <row r="2" spans="1:8" ht="20" customHeight="1" x14ac:dyDescent="0.3">
      <c r="A2" s="66" t="s">
        <v>40</v>
      </c>
      <c r="B2" s="38"/>
      <c r="C2" s="38"/>
      <c r="D2" s="38"/>
      <c r="E2" s="38"/>
      <c r="F2" s="60" t="s">
        <v>52</v>
      </c>
      <c r="G2" s="38"/>
      <c r="H2" s="38"/>
    </row>
    <row r="3" spans="1:8" ht="5" customHeight="1" x14ac:dyDescent="0.3">
      <c r="A3" s="32"/>
      <c r="B3" s="32"/>
      <c r="C3" s="32"/>
      <c r="D3" s="32"/>
      <c r="E3" s="32"/>
      <c r="F3" s="32"/>
      <c r="G3" s="32"/>
      <c r="H3" s="32"/>
    </row>
    <row r="4" spans="1:8" ht="5" customHeight="1" x14ac:dyDescent="0.3">
      <c r="A4" s="32"/>
      <c r="B4" s="76"/>
      <c r="C4" s="38"/>
      <c r="D4" s="38"/>
      <c r="E4" s="38"/>
      <c r="F4" s="38"/>
      <c r="G4" s="38"/>
      <c r="H4" s="32"/>
    </row>
    <row r="5" spans="1:8" ht="28.05" customHeight="1" x14ac:dyDescent="0.3">
      <c r="A5" s="32"/>
      <c r="B5" s="74" t="s">
        <v>355</v>
      </c>
      <c r="C5" s="38"/>
      <c r="D5" s="38"/>
      <c r="E5" s="38"/>
      <c r="F5" s="35" t="s">
        <v>53</v>
      </c>
      <c r="G5" s="36" t="s">
        <v>54</v>
      </c>
      <c r="H5" s="32"/>
    </row>
    <row r="6" spans="1:8" ht="17" customHeight="1" x14ac:dyDescent="0.3">
      <c r="A6" s="32"/>
      <c r="B6" s="73" t="s">
        <v>55</v>
      </c>
      <c r="C6" s="38"/>
      <c r="D6" s="38"/>
      <c r="E6" s="38"/>
      <c r="F6" s="38"/>
      <c r="G6" s="38"/>
      <c r="H6" s="32"/>
    </row>
    <row r="7" spans="1:8" ht="88.05" customHeight="1" x14ac:dyDescent="0.3">
      <c r="A7" s="32"/>
      <c r="B7" s="77" t="s">
        <v>356</v>
      </c>
      <c r="C7" s="38"/>
      <c r="D7" s="38"/>
      <c r="E7" s="38"/>
      <c r="F7" s="38"/>
      <c r="G7" s="38"/>
      <c r="H7" s="32"/>
    </row>
    <row r="8" spans="1:8" ht="17" customHeight="1" x14ac:dyDescent="0.3">
      <c r="A8" s="32"/>
      <c r="B8" s="73" t="s">
        <v>56</v>
      </c>
      <c r="C8" s="38"/>
      <c r="D8" s="38"/>
      <c r="E8" s="38"/>
      <c r="F8" s="38"/>
      <c r="G8" s="38"/>
      <c r="H8" s="32"/>
    </row>
    <row r="9" spans="1:8" ht="19.05" customHeight="1" x14ac:dyDescent="0.3">
      <c r="A9" s="32"/>
      <c r="B9" s="59" t="s">
        <v>57</v>
      </c>
      <c r="C9" s="38"/>
      <c r="D9" s="38"/>
      <c r="E9" s="59" t="s">
        <v>58</v>
      </c>
      <c r="F9" s="38"/>
      <c r="G9" s="38"/>
      <c r="H9" s="32"/>
    </row>
    <row r="10" spans="1:8" ht="26" customHeight="1" x14ac:dyDescent="0.3">
      <c r="A10" s="32"/>
      <c r="B10" s="71" t="s">
        <v>357</v>
      </c>
      <c r="C10" s="38"/>
      <c r="D10" s="38"/>
      <c r="E10" s="71" t="s">
        <v>358</v>
      </c>
      <c r="F10" s="38"/>
      <c r="G10" s="38"/>
      <c r="H10" s="32"/>
    </row>
    <row r="11" spans="1:8" ht="26" customHeight="1" x14ac:dyDescent="0.3">
      <c r="A11" s="32"/>
      <c r="B11" s="71" t="s">
        <v>359</v>
      </c>
      <c r="C11" s="38"/>
      <c r="D11" s="38"/>
      <c r="E11" s="71" t="s">
        <v>360</v>
      </c>
      <c r="F11" s="38"/>
      <c r="G11" s="38"/>
      <c r="H11" s="32"/>
    </row>
    <row r="12" spans="1:8" ht="26" customHeight="1" x14ac:dyDescent="0.3">
      <c r="A12" s="32"/>
      <c r="B12" s="71"/>
      <c r="C12" s="38"/>
      <c r="D12" s="38"/>
      <c r="E12" s="71"/>
      <c r="F12" s="38"/>
      <c r="G12" s="38"/>
      <c r="H12" s="32"/>
    </row>
    <row r="13" spans="1:8" ht="17" customHeight="1" x14ac:dyDescent="0.3">
      <c r="A13" s="32"/>
      <c r="B13" s="73" t="s">
        <v>59</v>
      </c>
      <c r="C13" s="38"/>
      <c r="D13" s="38"/>
      <c r="E13" s="73" t="s">
        <v>60</v>
      </c>
      <c r="F13" s="38"/>
      <c r="G13" s="38"/>
      <c r="H13" s="32"/>
    </row>
    <row r="14" spans="1:8" ht="21" customHeight="1" x14ac:dyDescent="0.3">
      <c r="A14" s="32"/>
      <c r="B14" s="72" t="s">
        <v>361</v>
      </c>
      <c r="C14" s="38"/>
      <c r="D14" s="38"/>
      <c r="E14" s="55" t="s">
        <v>365</v>
      </c>
      <c r="F14" s="38"/>
      <c r="G14" s="38"/>
      <c r="H14" s="32"/>
    </row>
    <row r="15" spans="1:8" ht="21" customHeight="1" x14ac:dyDescent="0.3">
      <c r="A15" s="32"/>
      <c r="B15" s="72" t="s">
        <v>362</v>
      </c>
      <c r="C15" s="38"/>
      <c r="D15" s="38"/>
      <c r="E15" s="38"/>
      <c r="F15" s="38"/>
      <c r="G15" s="38"/>
      <c r="H15" s="32"/>
    </row>
    <row r="16" spans="1:8" ht="21" customHeight="1" x14ac:dyDescent="0.3">
      <c r="A16" s="32"/>
      <c r="B16" s="72" t="s">
        <v>363</v>
      </c>
      <c r="C16" s="38"/>
      <c r="D16" s="38"/>
      <c r="E16" s="38"/>
      <c r="F16" s="38"/>
      <c r="G16" s="38"/>
      <c r="H16" s="32"/>
    </row>
    <row r="17" spans="1:8" ht="21" customHeight="1" x14ac:dyDescent="0.3">
      <c r="A17" s="32"/>
      <c r="B17" s="72" t="s">
        <v>364</v>
      </c>
      <c r="C17" s="38"/>
      <c r="D17" s="38"/>
      <c r="E17" s="38"/>
      <c r="F17" s="38"/>
      <c r="G17" s="38"/>
      <c r="H17" s="32"/>
    </row>
    <row r="18" spans="1:8" ht="21" customHeight="1" x14ac:dyDescent="0.3">
      <c r="A18" s="32"/>
      <c r="B18" s="72" t="s">
        <v>61</v>
      </c>
      <c r="C18" s="38"/>
      <c r="D18" s="38"/>
      <c r="E18" s="38"/>
      <c r="F18" s="38"/>
      <c r="G18" s="38"/>
      <c r="H18" s="32"/>
    </row>
    <row r="19" spans="1:8" ht="17" customHeight="1" x14ac:dyDescent="0.3">
      <c r="A19" s="32"/>
      <c r="B19" s="73" t="s">
        <v>62</v>
      </c>
      <c r="C19" s="38"/>
      <c r="D19" s="38"/>
      <c r="E19" s="38"/>
      <c r="F19" s="38"/>
      <c r="G19" s="38"/>
      <c r="H19" s="32"/>
    </row>
    <row r="20" spans="1:8" ht="34.049999999999997" customHeight="1" x14ac:dyDescent="0.3">
      <c r="A20" s="32"/>
      <c r="B20" s="75" t="s">
        <v>366</v>
      </c>
      <c r="C20" s="38"/>
      <c r="D20" s="38"/>
      <c r="E20" s="38"/>
      <c r="F20" s="38"/>
      <c r="G20" s="38"/>
      <c r="H20" s="32"/>
    </row>
    <row r="21" spans="1:8" ht="17" customHeight="1" x14ac:dyDescent="0.3">
      <c r="A21" s="32"/>
      <c r="B21" s="73" t="s">
        <v>63</v>
      </c>
      <c r="C21" s="38"/>
      <c r="D21" s="38"/>
      <c r="E21" s="38"/>
      <c r="F21" s="38"/>
      <c r="G21" s="38"/>
      <c r="H21" s="32"/>
    </row>
    <row r="22" spans="1:8" ht="26" customHeight="1" x14ac:dyDescent="0.3">
      <c r="A22" s="32"/>
      <c r="B22" s="78" t="s">
        <v>64</v>
      </c>
      <c r="C22" s="38"/>
      <c r="D22" s="38"/>
      <c r="E22" s="38"/>
      <c r="F22" s="38"/>
      <c r="G22" s="38"/>
      <c r="H22" s="32"/>
    </row>
    <row r="23" spans="1:8" ht="5" customHeight="1" x14ac:dyDescent="0.3">
      <c r="A23" s="32"/>
      <c r="B23" s="32"/>
      <c r="C23" s="32"/>
      <c r="D23" s="32"/>
      <c r="E23" s="32"/>
      <c r="F23" s="32"/>
      <c r="G23" s="32"/>
      <c r="H23" s="32"/>
    </row>
    <row r="24" spans="1:8" ht="20" customHeight="1" x14ac:dyDescent="0.3">
      <c r="A24" s="58" t="s">
        <v>65</v>
      </c>
      <c r="B24" s="38"/>
      <c r="C24" s="38"/>
      <c r="D24" s="38"/>
      <c r="E24" s="38"/>
      <c r="F24" s="38"/>
      <c r="G24" s="38"/>
      <c r="H24" s="38"/>
    </row>
    <row r="25" spans="1:8" ht="100.05" customHeight="1" x14ac:dyDescent="0.3">
      <c r="A25" s="63" t="s">
        <v>66</v>
      </c>
      <c r="B25" s="38"/>
      <c r="C25" s="38"/>
      <c r="D25" s="38"/>
      <c r="E25" s="38"/>
      <c r="F25" s="38"/>
      <c r="G25" s="38"/>
      <c r="H25" s="38"/>
    </row>
    <row r="26" spans="1:8" ht="100.05" customHeight="1" x14ac:dyDescent="0.3">
      <c r="A26" s="64"/>
      <c r="B26" s="38"/>
      <c r="C26" s="38"/>
      <c r="D26" s="38"/>
      <c r="E26" s="38"/>
      <c r="F26" s="38"/>
      <c r="G26" s="38"/>
      <c r="H26" s="38"/>
    </row>
    <row r="27" spans="1:8" ht="100.05" customHeight="1" x14ac:dyDescent="0.3">
      <c r="A27" s="64"/>
      <c r="B27" s="38"/>
      <c r="C27" s="38"/>
      <c r="D27" s="38"/>
      <c r="E27" s="38"/>
      <c r="F27" s="38"/>
      <c r="G27" s="38"/>
      <c r="H27" s="38"/>
    </row>
    <row r="28" spans="1:8" ht="100.05" customHeight="1" x14ac:dyDescent="0.3">
      <c r="A28" s="70"/>
      <c r="B28" s="38"/>
      <c r="C28" s="38"/>
      <c r="D28" s="38"/>
      <c r="E28" s="38"/>
      <c r="F28" s="38"/>
      <c r="G28" s="38"/>
      <c r="H28" s="38"/>
    </row>
    <row r="29" spans="1:8" ht="13.05" customHeight="1" x14ac:dyDescent="0.3">
      <c r="A29" s="42" t="s">
        <v>69</v>
      </c>
      <c r="B29" s="38"/>
      <c r="C29" s="38"/>
      <c r="D29" s="38"/>
      <c r="E29" s="38"/>
      <c r="F29" s="38"/>
      <c r="G29" s="38"/>
      <c r="H29" s="38"/>
    </row>
  </sheetData>
  <mergeCells count="34">
    <mergeCell ref="A29:H29"/>
    <mergeCell ref="B22:G22"/>
    <mergeCell ref="A28:H28"/>
    <mergeCell ref="B18:D18"/>
    <mergeCell ref="B12:D12"/>
    <mergeCell ref="B21:G21"/>
    <mergeCell ref="A25:H25"/>
    <mergeCell ref="B9:D9"/>
    <mergeCell ref="B15:D15"/>
    <mergeCell ref="A27:H27"/>
    <mergeCell ref="B6:G6"/>
    <mergeCell ref="B20:G20"/>
    <mergeCell ref="A26:H26"/>
    <mergeCell ref="E12:G12"/>
    <mergeCell ref="B7:G7"/>
    <mergeCell ref="B16:D16"/>
    <mergeCell ref="F2:H2"/>
    <mergeCell ref="B5:E5"/>
    <mergeCell ref="A1:H1"/>
    <mergeCell ref="B10:D10"/>
    <mergeCell ref="B19:G19"/>
    <mergeCell ref="E11:G11"/>
    <mergeCell ref="A2:E2"/>
    <mergeCell ref="B4:G4"/>
    <mergeCell ref="A24:H24"/>
    <mergeCell ref="B8:G8"/>
    <mergeCell ref="B17:D17"/>
    <mergeCell ref="B13:D13"/>
    <mergeCell ref="E9:G9"/>
    <mergeCell ref="B11:D11"/>
    <mergeCell ref="E10:G10"/>
    <mergeCell ref="E14:G18"/>
    <mergeCell ref="B14:D14"/>
    <mergeCell ref="E13:G13"/>
  </mergeCells>
  <phoneticPr fontId="26" type="noConversion"/>
  <dataValidations count="1">
    <dataValidation type="list" allowBlank="1" sqref="F5" xr:uid="{00000000-0002-0000-0900-000000000000}">
      <formula1>"语文,数学,英语,物理,化学,地理"</formula1>
    </dataValidation>
  </dataValidations>
  <pageMargins left="0.70899999999999996" right="0.70899999999999996" top="0.80899999999999994" bottom="0.80899999999999994" header="0.3" footer="0.3"/>
  <pageSetup paperSize="9" fitToHeight="0" orientation="portrait"/>
  <headerFooter>
    <oddHeader>&amp;C&amp;"微软雅黑"&amp;9 2026高考复盘本 · 第1周 · 深度整理卡片2</oddHeader>
    <oddFooter>&amp;L&amp;8 Toni Leigha&amp;R&amp;8 第 &amp;P 页 / 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10</vt:i4>
      </vt:variant>
    </vt:vector>
  </HeadingPairs>
  <TitlesOfParts>
    <vt:vector size="20" baseType="lpstr">
      <vt:lpstr>W1-日1</vt:lpstr>
      <vt:lpstr>W1-日2</vt:lpstr>
      <vt:lpstr>W1-日3</vt:lpstr>
      <vt:lpstr>W1-日4</vt:lpstr>
      <vt:lpstr>W1-日5</vt:lpstr>
      <vt:lpstr>W1-日6</vt:lpstr>
      <vt:lpstr>W1-日7</vt:lpstr>
      <vt:lpstr>W1-周汇总</vt:lpstr>
      <vt:lpstr>W1-卡片1</vt:lpstr>
      <vt:lpstr>W1-卡片2</vt:lpstr>
      <vt:lpstr>'W1-卡片1'!Print_Area</vt:lpstr>
      <vt:lpstr>'W1-卡片2'!Print_Area</vt:lpstr>
      <vt:lpstr>'W1-日1'!Print_Area</vt:lpstr>
      <vt:lpstr>'W1-日2'!Print_Area</vt:lpstr>
      <vt:lpstr>'W1-日3'!Print_Area</vt:lpstr>
      <vt:lpstr>'W1-日4'!Print_Area</vt:lpstr>
      <vt:lpstr>'W1-日5'!Print_Area</vt:lpstr>
      <vt:lpstr>'W1-日6'!Print_Area</vt:lpstr>
      <vt:lpstr>'W1-日7'!Print_Area</vt:lpstr>
      <vt:lpstr>'W1-周汇总'!Print_Area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先生 黄</cp:lastModifiedBy>
  <dcterms:created xsi:type="dcterms:W3CDTF">2026-03-13T14:35:18Z</dcterms:created>
  <dcterms:modified xsi:type="dcterms:W3CDTF">2026-04-25T02:22:46Z</dcterms:modified>
</cp:coreProperties>
</file>